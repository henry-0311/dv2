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ptagriculture-my.sharepoint.com/personal/chris_boult_aff_gov_au/Documents/Documents/Datareq/"/>
    </mc:Choice>
  </mc:AlternateContent>
  <xr:revisionPtr revIDLastSave="0" documentId="8_{0B3D9239-8299-4537-86D3-1B2FD3EE5C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Notes" sheetId="1" r:id="rId1"/>
    <sheet name="table_1" sheetId="2" r:id="rId2"/>
    <sheet name="table_2" sheetId="3" r:id="rId3"/>
    <sheet name="table_3" sheetId="4" r:id="rId4"/>
    <sheet name="table_4" sheetId="5" r:id="rId5"/>
    <sheet name="table_5" sheetId="6" r:id="rId6"/>
    <sheet name="table_6" sheetId="7" r:id="rId7"/>
    <sheet name="table_7" sheetId="8" r:id="rId8"/>
    <sheet name="table_8" sheetId="9" r:id="rId9"/>
    <sheet name="table_9" sheetId="10" r:id="rId10"/>
    <sheet name="table_10" sheetId="11" r:id="rId11"/>
    <sheet name="table_11" sheetId="12" r:id="rId12"/>
    <sheet name="table_12" sheetId="13" r:id="rId13"/>
    <sheet name="table_13" sheetId="14" r:id="rId14"/>
    <sheet name="table_14" sheetId="15" r:id="rId15"/>
    <sheet name="table_15" sheetId="16" r:id="rId16"/>
    <sheet name="table_16" sheetId="17" r:id="rId17"/>
    <sheet name="table_17" sheetId="18" r:id="rId18"/>
    <sheet name="table_18" sheetId="19" r:id="rId19"/>
    <sheet name="table_19" sheetId="20" r:id="rId20"/>
    <sheet name="table_c1" sheetId="21" r:id="rId21"/>
    <sheet name="table_c2" sheetId="22" r:id="rId22"/>
    <sheet name="table_c3" sheetId="23" r:id="rId23"/>
    <sheet name="table_c4" sheetId="24" r:id="rId24"/>
    <sheet name="table_c5" sheetId="25" r:id="rId25"/>
    <sheet name="table_c6" sheetId="26" r:id="rId26"/>
    <sheet name="table_c7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B28" i="1"/>
  <c r="B26" i="1"/>
  <c r="B25" i="1"/>
  <c r="B24" i="1"/>
  <c r="B22" i="1"/>
  <c r="B21" i="1"/>
  <c r="B20" i="1"/>
  <c r="B19" i="1"/>
  <c r="B18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<sst xmlns="http://schemas.openxmlformats.org/spreadsheetml/2006/main" count="1937" uniqueCount="247">
  <si>
    <t>Release Date</t>
  </si>
  <si>
    <t>30/06/2026</t>
  </si>
  <si>
    <t>Table of contents</t>
  </si>
  <si>
    <t>Item definitions</t>
  </si>
  <si>
    <t>Item</t>
  </si>
  <si>
    <t>Description</t>
  </si>
  <si>
    <t>TFP</t>
  </si>
  <si>
    <t>Total Factor Productivity index, calculated from indexes of all farm inputs and outputs</t>
  </si>
  <si>
    <t>Input</t>
  </si>
  <si>
    <t>Index of all farm inputs</t>
  </si>
  <si>
    <t>Output</t>
  </si>
  <si>
    <t>Index of all farm outputs</t>
  </si>
  <si>
    <t>Input (by type)</t>
  </si>
  <si>
    <t>Index of a specific type of farm input (ie. labour input, capital input, material input, etc)</t>
  </si>
  <si>
    <t>Growth rate</t>
  </si>
  <si>
    <t>Calculated by linear regression of log of input, output or TFP values against time trend</t>
  </si>
  <si>
    <t>Climate adjusted productivity</t>
  </si>
  <si>
    <t>Notes</t>
  </si>
  <si>
    <t>Input, Output and TFP indexes are always 100 in the first year</t>
  </si>
  <si>
    <t>Sources</t>
  </si>
  <si>
    <t>ABARES Australian Agricultural Grazing Industries Survey</t>
  </si>
  <si>
    <t>ABARES Australian Dairy Industry Survey</t>
  </si>
  <si>
    <t xml:space="preserve">This publication (and any material sourced from it) should be attributed as: </t>
  </si>
  <si>
    <t>Broadacre Productivity, by INDUSTRY, by STATE</t>
  </si>
  <si>
    <t xml:space="preserve">Table 1 - Broadacre productivity index, All industries, by state, 1977-78 to 2024-25 </t>
  </si>
  <si>
    <t>Financial year</t>
  </si>
  <si>
    <t>All Australia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</si>
  <si>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</si>
  <si>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</si>
  <si>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</si>
  <si>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</si>
  <si>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</si>
  <si>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</si>
  <si>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</si>
  <si>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1977-78</t>
  </si>
  <si>
    <t>1978-79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</si>
  <si>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</si>
  <si>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</si>
  <si>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</si>
  <si>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</si>
  <si>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</si>
  <si>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</si>
  <si>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</si>
  <si>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</si>
  <si>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</si>
  <si>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</si>
  <si>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</si>
  <si>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</si>
  <si>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</si>
  <si>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</si>
  <si>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</si>
  <si>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</si>
  <si>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</si>
  <si>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</si>
  <si>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</si>
  <si>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</si>
  <si>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1999-2000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</si>
  <si>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</si>
  <si>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</si>
  <si>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</si>
  <si>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</si>
  <si>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</si>
  <si>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</si>
  <si>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</si>
  <si>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</si>
  <si>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</si>
  <si>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</si>
  <si>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</si>
  <si>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</si>
  <si>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</si>
  <si>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</si>
  <si>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</si>
  <si>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</si>
  <si>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</si>
  <si>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</si>
  <si>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</si>
  <si>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</si>
  <si>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</si>
  <si>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</si>
  <si>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</si>
  <si>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</si>
  <si>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</si>
  <si>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table_1</t>
  </si>
  <si>
    <t xml:space="preserve">Table 2 - Broadacre productivity index, Cropping, by state, 1977-78 to 2024-25 </t>
  </si>
  <si>
    <t>nr</t>
  </si>
  <si>
    <t>table_2</t>
  </si>
  <si>
    <t xml:space="preserve">Table 3 - Broadacre productivity index, Mixed, by state, 1977-78 to 2024-25 </t>
  </si>
  <si>
    <t>table_3</t>
  </si>
  <si>
    <t xml:space="preserve">Table 4 - Broadacre productivity index, Sheep, by state, 1977-78 to 2024-25 </t>
  </si>
  <si>
    <t>table_4</t>
  </si>
  <si>
    <t xml:space="preserve">Table 5 - Broadacre productivity index, Beef, by state, 1977-78 to 2024-25 </t>
  </si>
  <si>
    <t>table_5</t>
  </si>
  <si>
    <t xml:space="preserve">Table 6 - Broadacre productivity index, Sheep-Beef, by state, 1977-78 to 2024-25 </t>
  </si>
  <si>
    <t>table_6</t>
  </si>
  <si>
    <t>Table 7 - Broadacre productivity growth rates, by industry, by state, 1977-78 to 2024-25 (%)</t>
  </si>
  <si>
    <t/>
  </si>
  <si>
    <t>All industries</t>
  </si>
  <si>
    <t>1.0</t>
  </si>
  <si>
    <t>0.7</t>
  </si>
  <si>
    <t>1.2</t>
  </si>
  <si>
    <t>1.4</t>
  </si>
  <si>
    <t>0.4</t>
  </si>
  <si>
    <t>1.5</t>
  </si>
  <si>
    <t>Cropping</t>
  </si>
  <si>
    <t>1.6</t>
  </si>
  <si>
    <t>1.3</t>
  </si>
  <si>
    <t>1.9</t>
  </si>
  <si>
    <t>2.0</t>
  </si>
  <si>
    <t>Mixed</t>
  </si>
  <si>
    <t>0.8</t>
  </si>
  <si>
    <t>0.9</t>
  </si>
  <si>
    <t>Sheep</t>
  </si>
  <si>
    <t>-0.4</t>
  </si>
  <si>
    <t>0.1</t>
  </si>
  <si>
    <t>0.3</t>
  </si>
  <si>
    <t>2.6</t>
  </si>
  <si>
    <t>0.0</t>
  </si>
  <si>
    <t>Beef</t>
  </si>
  <si>
    <t>0.6</t>
  </si>
  <si>
    <t>Sheep-Beef</t>
  </si>
  <si>
    <t>-0.2</t>
  </si>
  <si>
    <t>2.9</t>
  </si>
  <si>
    <t>table_7</t>
  </si>
  <si>
    <t>Table 8 - Broadacre input growth rates, by industry, by state, 1977-78 to 2024-25 (%)</t>
  </si>
  <si>
    <t>-0.6</t>
  </si>
  <si>
    <t>-0.9</t>
  </si>
  <si>
    <t>-0.7</t>
  </si>
  <si>
    <t>-0.1</t>
  </si>
  <si>
    <t>-1.9</t>
  </si>
  <si>
    <t>1.1</t>
  </si>
  <si>
    <t>-1.7</t>
  </si>
  <si>
    <t>-1.8</t>
  </si>
  <si>
    <t>-0.8</t>
  </si>
  <si>
    <t>-1.4</t>
  </si>
  <si>
    <t>-2.7</t>
  </si>
  <si>
    <t>-2.3</t>
  </si>
  <si>
    <t>-1.6</t>
  </si>
  <si>
    <t>-6.6</t>
  </si>
  <si>
    <t>-1.2</t>
  </si>
  <si>
    <t>-4.0</t>
  </si>
  <si>
    <t>-3.0</t>
  </si>
  <si>
    <t>0.5</t>
  </si>
  <si>
    <t>-2.5</t>
  </si>
  <si>
    <t>-1.3</t>
  </si>
  <si>
    <t>-3.2</t>
  </si>
  <si>
    <t>-4.1</t>
  </si>
  <si>
    <t>-0.5</t>
  </si>
  <si>
    <t>-5.3</t>
  </si>
  <si>
    <t>-2.8</t>
  </si>
  <si>
    <t>table_8</t>
  </si>
  <si>
    <t>Table 9 - Broadacre output growth rates, by industry, by state, 1977-78 to 2024-25 (%)</t>
  </si>
  <si>
    <t>-1.5</t>
  </si>
  <si>
    <t>2.5</t>
  </si>
  <si>
    <t>2.8</t>
  </si>
  <si>
    <t>3.3</t>
  </si>
  <si>
    <t>4.1</t>
  </si>
  <si>
    <t>-1.1</t>
  </si>
  <si>
    <t>-2.1</t>
  </si>
  <si>
    <t>-6.2</t>
  </si>
  <si>
    <t>-2.6</t>
  </si>
  <si>
    <t>-2.4</t>
  </si>
  <si>
    <t>table_9</t>
  </si>
  <si>
    <t>Table 10 - Broadacre input growth rates, by industry, by input type, 1977-78 to 2024-25 (%)</t>
  </si>
  <si>
    <t>Capital</t>
  </si>
  <si>
    <t>Labour</t>
  </si>
  <si>
    <t>Land</t>
  </si>
  <si>
    <t>Materials</t>
  </si>
  <si>
    <t>Services</t>
  </si>
  <si>
    <t>-2.0</t>
  </si>
  <si>
    <t>1.8</t>
  </si>
  <si>
    <t>4.0</t>
  </si>
  <si>
    <t>-3.1</t>
  </si>
  <si>
    <t>-3.3</t>
  </si>
  <si>
    <t>-0.3</t>
  </si>
  <si>
    <t>table_10</t>
  </si>
  <si>
    <t>Broadacre Productivity, by INDUSTRY, by REGION</t>
  </si>
  <si>
    <t xml:space="preserve">Table 11 - Broadacre productivity index, Cropping, by GRDC region, 1977-78 to 2024-25 </t>
  </si>
  <si>
    <t>Northern GRDC</t>
  </si>
  <si>
    <t>Southern GRDC</t>
  </si>
  <si>
    <t>Western GRDC</t>
  </si>
  <si>
    <t>table_11</t>
  </si>
  <si>
    <t xml:space="preserve">Table 12 - Broadacre productivity index, Mixed, by GRDC region, 1977-78 to 2024-25 </t>
  </si>
  <si>
    <t>table_12</t>
  </si>
  <si>
    <t xml:space="preserve">Table 13 - Broadacre productivity index, Sheep, by AAGIS zone, 1977-78 to 2024-25 </t>
  </si>
  <si>
    <t>Pastoral</t>
  </si>
  <si>
    <t>Wheat Sheep</t>
  </si>
  <si>
    <t>High Rainfall</t>
  </si>
  <si>
    <t>table_13</t>
  </si>
  <si>
    <t xml:space="preserve">Table 14 - Broadacre productivity index, Beef, by MLA region, 1977-78 to 2024-25 </t>
  </si>
  <si>
    <t>Northern Beef</t>
  </si>
  <si>
    <t>Southern Beef</t>
  </si>
  <si>
    <t>table_14</t>
  </si>
  <si>
    <t>Table 15 - Broadacre productivity growth rates, by industry, by region, 1977-78 to 2024-25 (%)</t>
  </si>
  <si>
    <t>na</t>
  </si>
  <si>
    <t>0.2</t>
  </si>
  <si>
    <t>table_15</t>
  </si>
  <si>
    <t>Dairy Productivity, by STATE</t>
  </si>
  <si>
    <t xml:space="preserve">Table 16 - Dairy productivity index, by state, 1978-79 to 2024-25 </t>
  </si>
  <si>
    <t>table_16</t>
  </si>
  <si>
    <t>Table 17 - Dairy productivity growth rates, by state, 1978-79 to 2024-25 (%)</t>
  </si>
  <si>
    <t>Dairy</t>
  </si>
  <si>
    <t>table_17</t>
  </si>
  <si>
    <t>Table 18 - Dairy input growth rates, by state, by input type, 1978-79 to 2024-25 (%)</t>
  </si>
  <si>
    <t>-2.9</t>
  </si>
  <si>
    <t>2.2</t>
  </si>
  <si>
    <t>3.2</t>
  </si>
  <si>
    <t>-4.8</t>
  </si>
  <si>
    <t>-4.2</t>
  </si>
  <si>
    <t>-2.2</t>
  </si>
  <si>
    <t>4.6</t>
  </si>
  <si>
    <t>2.1</t>
  </si>
  <si>
    <t>table_18</t>
  </si>
  <si>
    <t>Dairy Productivity, by REGION</t>
  </si>
  <si>
    <t xml:space="preserve">Table 19 - Dairy productivity index, by Region, 1978-79 to 2024-25 </t>
  </si>
  <si>
    <t>Subtropical Dairy (New South Wales)</t>
  </si>
  <si>
    <t>Dairy NSW (New South Wales)</t>
  </si>
  <si>
    <t>Murray Dairy (New South Wales)</t>
  </si>
  <si>
    <t>WestVic Dairy (Western Victoria)</t>
  </si>
  <si>
    <t>Murray Dairy (Victoria)</t>
  </si>
  <si>
    <t>Gippsland Dairy (Victoria)</t>
  </si>
  <si>
    <t>Subtropical Dairy (Queensland)</t>
  </si>
  <si>
    <t>Dairy SA (South Australia)</t>
  </si>
  <si>
    <t>Western Dairy (Western Australia)</t>
  </si>
  <si>
    <t>Dairy TAS (Tasmania)</t>
  </si>
  <si>
    <t>table_19</t>
  </si>
  <si>
    <t>Climate adjusted broadacre Productivity, by INDUSTRY, by STATE</t>
  </si>
  <si>
    <t xml:space="preserve">Table c1 - Climate adjusted broadacre productivity index, All industries, by state, 1988-89 to 2024-25 </t>
  </si>
  <si>
    <t>table_c1</t>
  </si>
  <si>
    <t xml:space="preserve">Table c2 - Climate adjusted broadacre productivity index, Cropping, by state, 1988-89 to 2024-25 </t>
  </si>
  <si>
    <t>table_c2</t>
  </si>
  <si>
    <t xml:space="preserve">Table c3 - Climate adjusted broadacre productivity index, Mixed, by state, 1988-89 to 2024-25 </t>
  </si>
  <si>
    <t>table_c3</t>
  </si>
  <si>
    <t xml:space="preserve">Table c4 - Climate adjusted broadacre productivity index, Sheep, by state, 1988-89 to 2024-25 </t>
  </si>
  <si>
    <t>table_c4</t>
  </si>
  <si>
    <t xml:space="preserve">Table c5 - Climate adjusted broadacre productivity index, Beef, by state, 1988-89 to 2024-25 </t>
  </si>
  <si>
    <t>table_c5</t>
  </si>
  <si>
    <t xml:space="preserve">Table c6 - Climate adjusted broadacre productivity index, Sheep-Beef, by state, 1988-89 to 2024-25 </t>
  </si>
  <si>
    <t>table_c6</t>
  </si>
  <si>
    <t>Table c7 - Climate adjusted broadacre productivity growth rates, by industry, by state, 1988-89 to 2024-25 (%)</t>
  </si>
  <si>
    <t>1.7</t>
  </si>
  <si>
    <t>-0.0</t>
  </si>
  <si>
    <t>table_c7</t>
  </si>
  <si>
    <r>
      <rPr>
        <b/>
        <sz val="11"/>
        <color rgb="FF000000"/>
        <rFont val="Calibri"/>
        <family val="2"/>
        <scheme val="minor"/>
      </rPr>
      <t>nr</t>
    </r>
    <r>
      <rPr>
        <sz val="11"/>
        <color rgb="FF000000"/>
        <rFont val="Calibri"/>
        <family val="2"/>
        <scheme val="minor"/>
      </rPr>
      <t xml:space="preserve"> indicates data are not reported because of low survey sample counts</t>
    </r>
  </si>
  <si>
    <r>
      <rPr>
        <b/>
        <sz val="11"/>
        <color rgb="FF000000"/>
        <rFont val="Calibri"/>
        <family val="2"/>
        <scheme val="minor"/>
      </rPr>
      <t>na</t>
    </r>
    <r>
      <rPr>
        <sz val="11"/>
        <color rgb="FF000000"/>
        <rFont val="Calibri"/>
        <family val="2"/>
        <scheme val="minor"/>
      </rPr>
      <t xml:space="preserve"> indicates that data are not applicable for the industry, state or region</t>
    </r>
  </si>
  <si>
    <t>Measures agricultural productivity in the absence of climate effects, which are removed using machine-learning methods</t>
  </si>
  <si>
    <t>For climate adjusted indexes, which are not necessarily 100 in the first year</t>
  </si>
  <si>
    <t>ABARES 2026, Australian Agricultural Productivity, 2024–25 data dashboard, Australian Bureau of Agricultural and Resource Economics and Sciences, Canberra, June. CC BY 4.0. https://doi.org/10.25814/wred-1813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</si>
</sst>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u/>
      <sz val="11"/>
      <color rgb="FF000000"/>
      <name val="Calibri"/>
    </font>
    <font>
      <u/>
      <sz val="11"/>
      <color theme="10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051C158-6597-4282-BB0E-AB36325FAF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8"/>
  <sheetViews>
    <sheetView tabSelected="1" workbookViewId="0"/>
  </sheetViews>
  <sheetFormatPr defaultColWidth="11" defaultRowHeight="15" x14ac:dyDescent="0.25"/>
  <cols>
    <col min="1" max="1" width="28.7109375" customWidth="1"/>
    <col min="2" max="2" width="105.7109375" customWidth="1"/>
  </cols>
  <sheetData>
    <row r="2" spans="1:2" x14ac:dyDescent="0.25">
      <c r="A2" s="1" t="s">
        <v>0</v>
      </c>
    </row>
    <row r="3" spans="1:2" x14ac:dyDescent="0.25">
      <c r="A3" t="s">
        <v>1</v>
      </c>
    </row>
    <row r="5" spans="1:2" x14ac:dyDescent="0.25">
      <c r="A5" s="1" t="s">
        <v>2</v>
      </c>
    </row>
    <row r="6" spans="1:2" x14ac:dyDescent="0.25">
      <c r="A6" s="2" t="s">
        <v>23</v>
      </c>
    </row>
    <row r="7" spans="1:2" x14ac:dyDescent="0.25">
      <c r="A7" t="s">
        <v>82</v>
      </c>
      <c r="B7" s="3" t="str">
        <f>HYPERLINK("#'table_1'!A1", "Productivity index, All industries")</f>
        <v>Productivity index, All industries</v>
      </c>
    </row>
    <row r="8" spans="1:2" x14ac:dyDescent="0.25">
      <c r="A8" t="s">
        <v>85</v>
      </c>
      <c r="B8" s="3" t="str">
        <f>HYPERLINK("#'table_2'!A1", "Productivity index, Cropping")</f>
        <v>Productivity index, Cropping</v>
      </c>
    </row>
    <row r="9" spans="1:2" x14ac:dyDescent="0.25">
      <c r="A9" t="s">
        <v>87</v>
      </c>
      <c r="B9" s="3" t="str">
        <f>HYPERLINK("#'table_3'!A1", "Productivity index, Mixed")</f>
        <v>Productivity index, Mixed</v>
      </c>
    </row>
    <row r="10" spans="1:2" x14ac:dyDescent="0.25">
      <c r="A10" t="s">
        <v>89</v>
      </c>
      <c r="B10" s="3" t="str">
        <f>HYPERLINK("#'table_4'!A1", "Productivity index, Sheep")</f>
        <v>Productivity index, Sheep</v>
      </c>
    </row>
    <row r="11" spans="1:2" x14ac:dyDescent="0.25">
      <c r="A11" t="s">
        <v>91</v>
      </c>
      <c r="B11" s="3" t="str">
        <f>HYPERLINK("#'table_5'!A1", "Productivity index, Beef")</f>
        <v>Productivity index, Beef</v>
      </c>
    </row>
    <row r="12" spans="1:2" x14ac:dyDescent="0.25">
      <c r="A12" t="s">
        <v>93</v>
      </c>
      <c r="B12" s="3" t="str">
        <f>HYPERLINK("#'table_6'!A1", "Productivity index, Sheep-Beef")</f>
        <v>Productivity index, Sheep-Beef</v>
      </c>
    </row>
    <row r="13" spans="1:2" x14ac:dyDescent="0.25">
      <c r="A13" t="s">
        <v>122</v>
      </c>
      <c r="B13" s="3" t="str">
        <f>HYPERLINK("#'table_7'!A1", "Productivity growth rates ")</f>
        <v xml:space="preserve">Productivity growth rates </v>
      </c>
    </row>
    <row r="14" spans="1:2" x14ac:dyDescent="0.25">
      <c r="A14" t="s">
        <v>149</v>
      </c>
      <c r="B14" s="3" t="str">
        <f>HYPERLINK("#'table_8'!A1", "Input growth rates ")</f>
        <v xml:space="preserve">Input growth rates </v>
      </c>
    </row>
    <row r="15" spans="1:2" x14ac:dyDescent="0.25">
      <c r="A15" t="s">
        <v>161</v>
      </c>
      <c r="B15" s="3" t="str">
        <f>HYPERLINK("#'table_9'!A1", "Output growth rates ")</f>
        <v xml:space="preserve">Output growth rates </v>
      </c>
    </row>
    <row r="16" spans="1:2" x14ac:dyDescent="0.25">
      <c r="A16" t="s">
        <v>174</v>
      </c>
      <c r="B16" s="3" t="str">
        <f>HYPERLINK("#'table_10'!A1", "Input growth rates (by type)")</f>
        <v>Input growth rates (by type)</v>
      </c>
    </row>
    <row r="17" spans="1:2" x14ac:dyDescent="0.25">
      <c r="A17" s="2" t="s">
        <v>175</v>
      </c>
    </row>
    <row r="18" spans="1:2" x14ac:dyDescent="0.25">
      <c r="A18" t="s">
        <v>180</v>
      </c>
      <c r="B18" s="3" t="str">
        <f>HYPERLINK("#'table_11'!A1", "Productivity index, Cropping")</f>
        <v>Productivity index, Cropping</v>
      </c>
    </row>
    <row r="19" spans="1:2" x14ac:dyDescent="0.25">
      <c r="A19" t="s">
        <v>182</v>
      </c>
      <c r="B19" s="3" t="str">
        <f>HYPERLINK("#'table_12'!A1", "Productivity index, Mixed")</f>
        <v>Productivity index, Mixed</v>
      </c>
    </row>
    <row r="20" spans="1:2" x14ac:dyDescent="0.25">
      <c r="A20" t="s">
        <v>187</v>
      </c>
      <c r="B20" s="3" t="str">
        <f>HYPERLINK("#'table_13'!A1", "Productivity index, Sheep")</f>
        <v>Productivity index, Sheep</v>
      </c>
    </row>
    <row r="21" spans="1:2" x14ac:dyDescent="0.25">
      <c r="A21" t="s">
        <v>191</v>
      </c>
      <c r="B21" s="3" t="str">
        <f>HYPERLINK("#'table_14'!A1", "Productivity index, Beef")</f>
        <v>Productivity index, Beef</v>
      </c>
    </row>
    <row r="22" spans="1:2" x14ac:dyDescent="0.25">
      <c r="A22" t="s">
        <v>195</v>
      </c>
      <c r="B22" s="3" t="str">
        <f>HYPERLINK("#'table_15'!A1", "Productivity growth rates ")</f>
        <v xml:space="preserve">Productivity growth rates </v>
      </c>
    </row>
    <row r="23" spans="1:2" x14ac:dyDescent="0.25">
      <c r="A23" s="2" t="s">
        <v>196</v>
      </c>
    </row>
    <row r="24" spans="1:2" x14ac:dyDescent="0.25">
      <c r="A24" t="s">
        <v>198</v>
      </c>
      <c r="B24" s="3" t="str">
        <f>HYPERLINK("#'table_16'!A1", "Productivity index")</f>
        <v>Productivity index</v>
      </c>
    </row>
    <row r="25" spans="1:2" x14ac:dyDescent="0.25">
      <c r="A25" t="s">
        <v>201</v>
      </c>
      <c r="B25" s="3" t="str">
        <f>HYPERLINK("#'table_17'!A1", "Productivity growth rates ")</f>
        <v xml:space="preserve">Productivity growth rates </v>
      </c>
    </row>
    <row r="26" spans="1:2" x14ac:dyDescent="0.25">
      <c r="A26" t="s">
        <v>211</v>
      </c>
      <c r="B26" s="3" t="str">
        <f>HYPERLINK("#'table_18'!A1", "Input growth rates (by type)")</f>
        <v>Input growth rates (by type)</v>
      </c>
    </row>
    <row r="27" spans="1:2" x14ac:dyDescent="0.25">
      <c r="A27" s="2" t="s">
        <v>212</v>
      </c>
    </row>
    <row r="28" spans="1:2" x14ac:dyDescent="0.25">
      <c r="A28" t="s">
        <v>224</v>
      </c>
      <c r="B28" s="3" t="str">
        <f>HYPERLINK("#'table_19'!A1", "Productivity index")</f>
        <v>Productivity index</v>
      </c>
    </row>
    <row r="29" spans="1:2" x14ac:dyDescent="0.25">
      <c r="A29" s="2" t="s">
        <v>225</v>
      </c>
    </row>
    <row r="30" spans="1:2" x14ac:dyDescent="0.25">
      <c r="A30" t="s">
        <v>227</v>
      </c>
      <c r="B30" s="3" t="str">
        <f>HYPERLINK("#'table_c1'!A1", "Climate adjusted productivity index, All industries")</f>
        <v>Climate adjusted productivity index, All industries</v>
      </c>
    </row>
    <row r="31" spans="1:2" x14ac:dyDescent="0.25">
      <c r="A31" t="s">
        <v>229</v>
      </c>
      <c r="B31" s="3" t="str">
        <f>HYPERLINK("#'table_c2'!A1", "Climate adjusted productivity index, Cropping")</f>
        <v>Climate adjusted productivity index, Cropping</v>
      </c>
    </row>
    <row r="32" spans="1:2" x14ac:dyDescent="0.25">
      <c r="A32" t="s">
        <v>231</v>
      </c>
      <c r="B32" s="3" t="str">
        <f>HYPERLINK("#'table_c3'!A1", "Climate adjusted productivity index, Mixed")</f>
        <v>Climate adjusted productivity index, Mixed</v>
      </c>
    </row>
    <row r="33" spans="1:2" x14ac:dyDescent="0.25">
      <c r="A33" t="s">
        <v>233</v>
      </c>
      <c r="B33" s="3" t="str">
        <f>HYPERLINK("#'table_c4'!A1", "Climate adjusted productivity index, Sheep")</f>
        <v>Climate adjusted productivity index, Sheep</v>
      </c>
    </row>
    <row r="34" spans="1:2" x14ac:dyDescent="0.25">
      <c r="A34" t="s">
        <v>235</v>
      </c>
      <c r="B34" s="3" t="str">
        <f>HYPERLINK("#'table_c5'!A1", "Climate adjusted productivity index, Beef")</f>
        <v>Climate adjusted productivity index, Beef</v>
      </c>
    </row>
    <row r="35" spans="1:2" x14ac:dyDescent="0.25">
      <c r="A35" t="s">
        <v>237</v>
      </c>
      <c r="B35" s="3" t="str">
        <f>HYPERLINK("#'table_c6'!A1", "Climate adjusted productivity index, Sheep-Beef")</f>
        <v>Climate adjusted productivity index, Sheep-Beef</v>
      </c>
    </row>
    <row r="36" spans="1:2" x14ac:dyDescent="0.25">
      <c r="A36" t="s">
        <v>241</v>
      </c>
      <c r="B36" s="3" t="str">
        <f>HYPERLINK("#'table_c7'!A1", "Climate adjusted productivity growth rates ")</f>
        <v xml:space="preserve">Climate adjusted productivity growth rates </v>
      </c>
    </row>
    <row r="38" spans="1:2" x14ac:dyDescent="0.25">
      <c r="A38" s="1" t="s">
        <v>3</v>
      </c>
    </row>
    <row r="39" spans="1:2" x14ac:dyDescent="0.25">
      <c r="A39" s="1" t="s">
        <v>4</v>
      </c>
      <c r="B39" s="1" t="s">
        <v>5</v>
      </c>
    </row>
    <row r="40" spans="1:2" x14ac:dyDescent="0.25">
      <c r="A40" t="s">
        <v>6</v>
      </c>
      <c r="B40" t="s">
        <v>7</v>
      </c>
    </row>
    <row r="41" spans="1:2" x14ac:dyDescent="0.25">
      <c r="A41" t="s">
        <v>8</v>
      </c>
      <c r="B41" t="s">
        <v>9</v>
      </c>
    </row>
    <row r="42" spans="1:2" x14ac:dyDescent="0.25">
      <c r="A42" t="s">
        <v>10</v>
      </c>
      <c r="B42" t="s">
        <v>11</v>
      </c>
    </row>
    <row r="43" spans="1:2" x14ac:dyDescent="0.25">
      <c r="A43" t="s">
        <v>12</v>
      </c>
      <c r="B43" t="s">
        <v>13</v>
      </c>
    </row>
    <row r="44" spans="1:2" x14ac:dyDescent="0.25">
      <c r="A44" t="s">
        <v>14</v>
      </c>
      <c r="B44" t="s">
        <v>15</v>
      </c>
    </row>
    <row r="45" spans="1:2" x14ac:dyDescent="0.25">
      <c r="A45" t="s">
        <v>16</v>
      </c>
      <c r="B45" t="s">
        <v>244</v>
      </c>
    </row>
    <row r="47" spans="1:2" x14ac:dyDescent="0.25">
      <c r="A47" s="1" t="s">
        <v>17</v>
      </c>
    </row>
    <row r="48" spans="1:2" x14ac:dyDescent="0.25">
      <c r="A48" t="s">
        <v>18</v>
      </c>
    </row>
    <row r="49" spans="1:1" x14ac:dyDescent="0.25">
      <c r="A49" t="s">
        <v>245</v>
      </c>
    </row>
    <row r="50" spans="1:1" x14ac:dyDescent="0.25">
      <c r="A50" t="s">
        <v>242</v>
      </c>
    </row>
    <row r="51" spans="1:1" x14ac:dyDescent="0.25">
      <c r="A51" t="s">
        <v>243</v>
      </c>
    </row>
    <row r="53" spans="1:1" x14ac:dyDescent="0.25">
      <c r="A53" s="1" t="s">
        <v>19</v>
      </c>
    </row>
    <row r="54" spans="1:1" x14ac:dyDescent="0.25">
      <c r="A54" t="s">
        <v>20</v>
      </c>
    </row>
    <row r="55" spans="1:1" x14ac:dyDescent="0.25">
      <c r="A55" t="s">
        <v>21</v>
      </c>
    </row>
    <row r="57" spans="1:1" x14ac:dyDescent="0.25">
      <c r="A57" t="s">
        <v>22</v>
      </c>
    </row>
    <row r="58" spans="1:1" x14ac:dyDescent="0.25">
      <c r="A58" t="s">
        <v>246</v>
      </c>
    </row>
  </sheetData>
  <pageMargins left="0.7" right="0.7" top="0.75" bottom="0.75" header="0.3" footer="0.3"/>
  <pageSetup paperSize="9" orientation="portrait" horizontalDpi="300" verticalDpi="300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>
      <pane xSplit="1" ySplit="2" topLeftCell="B27" activePane="bottomRight" state="frozen"/>
      <selection pane="topRight"/>
      <selection pane="bottomLeft"/>
      <selection pane="bottomRight" activeCell="G13" sqref="G13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24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s="4">
        <v>100</v>
      </c>
    </row>
    <row r="4" spans="1:9" x14ac:dyDescent="0.25">
      <c r="A4" t="s">
        <v>35</v>
      </c>
      <c r="B4" s="4">
        <v>117.28</v>
      </c>
      <c r="C4" s="4">
        <v>112.68</v>
      </c>
      <c r="D4" s="4">
        <v>129.15</v>
      </c>
      <c r="E4" s="4">
        <v>120.21</v>
      </c>
      <c r="F4" s="4">
        <v>137.06</v>
      </c>
      <c r="G4" s="4">
        <v>115.86</v>
      </c>
      <c r="H4" s="4">
        <v>112.15</v>
      </c>
      <c r="I4" s="4">
        <v>89.93</v>
      </c>
    </row>
    <row r="5" spans="1:9" x14ac:dyDescent="0.25">
      <c r="A5" t="s">
        <v>36</v>
      </c>
      <c r="B5" s="4">
        <v>116.24</v>
      </c>
      <c r="C5" s="4">
        <v>114.24</v>
      </c>
      <c r="D5" s="4">
        <v>118.3</v>
      </c>
      <c r="E5" s="4">
        <v>93.69</v>
      </c>
      <c r="F5" s="4">
        <v>161.1</v>
      </c>
      <c r="G5" s="4">
        <v>113.62</v>
      </c>
      <c r="H5" s="4">
        <v>102.96</v>
      </c>
      <c r="I5" s="4">
        <v>82.96</v>
      </c>
    </row>
    <row r="6" spans="1:9" x14ac:dyDescent="0.25">
      <c r="A6" t="s">
        <v>37</v>
      </c>
      <c r="B6" s="4">
        <v>98.79</v>
      </c>
      <c r="C6" s="4">
        <v>87.83</v>
      </c>
      <c r="D6" s="4">
        <v>113.93</v>
      </c>
      <c r="E6" s="4">
        <v>93.37</v>
      </c>
      <c r="F6" s="4">
        <v>130.44</v>
      </c>
      <c r="G6" s="4">
        <v>104.49</v>
      </c>
      <c r="H6" s="4">
        <v>87.8</v>
      </c>
      <c r="I6" s="4">
        <v>72.95</v>
      </c>
    </row>
    <row r="7" spans="1:9" x14ac:dyDescent="0.25">
      <c r="A7" t="s">
        <v>38</v>
      </c>
      <c r="B7" s="4">
        <v>114.75</v>
      </c>
      <c r="C7" s="4">
        <v>114.19</v>
      </c>
      <c r="D7" s="4">
        <v>119.22</v>
      </c>
      <c r="E7" s="4">
        <v>122.3</v>
      </c>
      <c r="F7" s="4">
        <v>132.79</v>
      </c>
      <c r="G7" s="4">
        <v>114.55</v>
      </c>
      <c r="H7" s="4">
        <v>105.98</v>
      </c>
      <c r="I7" s="4">
        <v>74.34</v>
      </c>
    </row>
    <row r="8" spans="1:9" x14ac:dyDescent="0.25">
      <c r="A8" t="s">
        <v>39</v>
      </c>
      <c r="B8" s="4">
        <v>96</v>
      </c>
      <c r="C8" s="4">
        <v>80.62</v>
      </c>
      <c r="D8" s="4">
        <v>86.41</v>
      </c>
      <c r="E8" s="4">
        <v>96.17</v>
      </c>
      <c r="F8" s="4">
        <v>104.85</v>
      </c>
      <c r="G8" s="4">
        <v>136.18</v>
      </c>
      <c r="H8" s="4">
        <v>106.68</v>
      </c>
      <c r="I8" s="4">
        <v>86.58</v>
      </c>
    </row>
    <row r="9" spans="1:9" x14ac:dyDescent="0.25">
      <c r="A9" t="s">
        <v>40</v>
      </c>
      <c r="B9" s="4">
        <v>131.24</v>
      </c>
      <c r="C9" s="4">
        <v>138.4</v>
      </c>
      <c r="D9" s="4">
        <v>141.51</v>
      </c>
      <c r="E9" s="4">
        <v>119.36</v>
      </c>
      <c r="F9" s="4">
        <v>184.7</v>
      </c>
      <c r="G9" s="4">
        <v>118.44</v>
      </c>
      <c r="H9" s="4">
        <v>95.01</v>
      </c>
      <c r="I9" s="4">
        <v>96.28</v>
      </c>
    </row>
    <row r="10" spans="1:9" x14ac:dyDescent="0.25">
      <c r="A10" t="s">
        <v>41</v>
      </c>
      <c r="B10" s="4">
        <v>127.83</v>
      </c>
      <c r="C10" s="4">
        <v>118.79</v>
      </c>
      <c r="D10" s="4">
        <v>134.04</v>
      </c>
      <c r="E10" s="4">
        <v>116.51</v>
      </c>
      <c r="F10" s="4">
        <v>174.97</v>
      </c>
      <c r="G10" s="4">
        <v>161.86000000000001</v>
      </c>
      <c r="H10" s="4">
        <v>99.36</v>
      </c>
      <c r="I10" s="4">
        <v>93.03</v>
      </c>
    </row>
    <row r="11" spans="1:9" x14ac:dyDescent="0.25">
      <c r="A11" t="s">
        <v>42</v>
      </c>
      <c r="B11" s="4">
        <v>128.81</v>
      </c>
      <c r="C11" s="4">
        <v>128.37</v>
      </c>
      <c r="D11" s="4">
        <v>133.16999999999999</v>
      </c>
      <c r="E11" s="4">
        <v>120.77</v>
      </c>
      <c r="F11" s="4">
        <v>184.65</v>
      </c>
      <c r="G11" s="4">
        <v>135.13</v>
      </c>
      <c r="H11" s="4">
        <v>114.66</v>
      </c>
      <c r="I11" s="4">
        <v>79.069999999999993</v>
      </c>
    </row>
    <row r="12" spans="1:9" x14ac:dyDescent="0.25">
      <c r="A12" t="s">
        <v>43</v>
      </c>
      <c r="B12" s="4">
        <v>128.41999999999999</v>
      </c>
      <c r="C12" s="4">
        <v>114.29</v>
      </c>
      <c r="D12" s="4">
        <v>146.12</v>
      </c>
      <c r="E12" s="4">
        <v>113.29</v>
      </c>
      <c r="F12" s="4">
        <v>194.56</v>
      </c>
      <c r="G12" s="4">
        <v>144.56</v>
      </c>
      <c r="H12" s="4">
        <v>113.14</v>
      </c>
      <c r="I12" s="4">
        <v>78.959999999999994</v>
      </c>
    </row>
    <row r="13" spans="1:9" x14ac:dyDescent="0.25">
      <c r="A13" t="s">
        <v>44</v>
      </c>
      <c r="B13" s="4">
        <v>125.81</v>
      </c>
      <c r="C13" s="4">
        <v>127.13</v>
      </c>
      <c r="D13" s="4">
        <v>131.22</v>
      </c>
      <c r="E13" s="4">
        <v>111.1</v>
      </c>
      <c r="F13" s="4">
        <v>169.97</v>
      </c>
      <c r="G13" s="4">
        <v>133.55000000000001</v>
      </c>
      <c r="H13" s="4">
        <v>110.01</v>
      </c>
      <c r="I13" s="4">
        <v>91.41</v>
      </c>
    </row>
    <row r="14" spans="1:9" x14ac:dyDescent="0.25">
      <c r="A14" t="s">
        <v>45</v>
      </c>
      <c r="B14" s="4">
        <v>128.93</v>
      </c>
      <c r="C14" s="4">
        <v>128.88999999999999</v>
      </c>
      <c r="D14" s="4">
        <v>128.31</v>
      </c>
      <c r="E14" s="4">
        <v>121.58</v>
      </c>
      <c r="F14" s="4">
        <v>161.37</v>
      </c>
      <c r="G14" s="4">
        <v>151.66999999999999</v>
      </c>
      <c r="H14" s="4">
        <v>111.43</v>
      </c>
      <c r="I14" s="4">
        <v>93.31</v>
      </c>
    </row>
    <row r="15" spans="1:9" x14ac:dyDescent="0.25">
      <c r="A15" t="s">
        <v>46</v>
      </c>
      <c r="B15" s="4">
        <v>139.02000000000001</v>
      </c>
      <c r="C15" s="4">
        <v>134.49</v>
      </c>
      <c r="D15" s="4">
        <v>142.63999999999999</v>
      </c>
      <c r="E15" s="4">
        <v>120.76</v>
      </c>
      <c r="F15" s="4">
        <v>215.66</v>
      </c>
      <c r="G15" s="4">
        <v>159.88999999999999</v>
      </c>
      <c r="H15" s="4">
        <v>121.38</v>
      </c>
      <c r="I15" s="4">
        <v>100.31</v>
      </c>
    </row>
    <row r="16" spans="1:9" x14ac:dyDescent="0.25">
      <c r="A16" t="s">
        <v>47</v>
      </c>
      <c r="B16" s="4">
        <v>141.94</v>
      </c>
      <c r="C16" s="4">
        <v>139.59</v>
      </c>
      <c r="D16" s="4">
        <v>129.55000000000001</v>
      </c>
      <c r="E16" s="4">
        <v>140.69</v>
      </c>
      <c r="F16" s="4">
        <v>188.13</v>
      </c>
      <c r="G16" s="4">
        <v>167.46</v>
      </c>
      <c r="H16" s="4">
        <v>112.04</v>
      </c>
      <c r="I16" s="4">
        <v>102.75</v>
      </c>
    </row>
    <row r="17" spans="1:9" x14ac:dyDescent="0.25">
      <c r="A17" t="s">
        <v>48</v>
      </c>
      <c r="B17" s="4">
        <v>134.31</v>
      </c>
      <c r="C17" s="4">
        <v>127.29</v>
      </c>
      <c r="D17" s="4">
        <v>130.36000000000001</v>
      </c>
      <c r="E17" s="4">
        <v>119.74</v>
      </c>
      <c r="F17" s="4">
        <v>202.78</v>
      </c>
      <c r="G17" s="4">
        <v>165.75</v>
      </c>
      <c r="H17" s="4">
        <v>110.03</v>
      </c>
      <c r="I17" s="4">
        <v>92.9</v>
      </c>
    </row>
    <row r="18" spans="1:9" x14ac:dyDescent="0.25">
      <c r="A18" t="s">
        <v>49</v>
      </c>
      <c r="B18" s="4">
        <v>148.63999999999999</v>
      </c>
      <c r="C18" s="4">
        <v>139.63999999999999</v>
      </c>
      <c r="D18" s="4">
        <v>151.57</v>
      </c>
      <c r="E18" s="4">
        <v>125.19</v>
      </c>
      <c r="F18" s="4">
        <v>210.91</v>
      </c>
      <c r="G18" s="4">
        <v>187.86</v>
      </c>
      <c r="H18" s="4">
        <v>129.07</v>
      </c>
      <c r="I18" s="4">
        <v>89.02</v>
      </c>
    </row>
    <row r="19" spans="1:9" x14ac:dyDescent="0.25">
      <c r="A19" t="s">
        <v>50</v>
      </c>
      <c r="B19" s="4">
        <v>157.19</v>
      </c>
      <c r="C19" s="4">
        <v>153.31</v>
      </c>
      <c r="D19" s="4">
        <v>154.9</v>
      </c>
      <c r="E19" s="4">
        <v>121.09</v>
      </c>
      <c r="F19" s="4">
        <v>220.67</v>
      </c>
      <c r="G19" s="4">
        <v>205.66</v>
      </c>
      <c r="H19" s="4">
        <v>129.29</v>
      </c>
      <c r="I19" s="4">
        <v>103.13</v>
      </c>
    </row>
    <row r="20" spans="1:9" x14ac:dyDescent="0.25">
      <c r="A20" t="s">
        <v>51</v>
      </c>
      <c r="B20" s="4">
        <v>125.5</v>
      </c>
      <c r="C20" s="4">
        <v>105.46</v>
      </c>
      <c r="D20" s="4">
        <v>117.68</v>
      </c>
      <c r="E20" s="4">
        <v>122.53</v>
      </c>
      <c r="F20" s="4">
        <v>160.07</v>
      </c>
      <c r="G20" s="4">
        <v>177.61</v>
      </c>
      <c r="H20" s="4">
        <v>116.05</v>
      </c>
      <c r="I20" s="4">
        <v>137.38</v>
      </c>
    </row>
    <row r="21" spans="1:9" x14ac:dyDescent="0.25">
      <c r="A21" t="s">
        <v>52</v>
      </c>
      <c r="B21" s="4">
        <v>157.57</v>
      </c>
      <c r="C21" s="4">
        <v>140.03</v>
      </c>
      <c r="D21" s="4">
        <v>172.05</v>
      </c>
      <c r="E21" s="4">
        <v>130.54</v>
      </c>
      <c r="F21" s="4">
        <v>227.18</v>
      </c>
      <c r="G21" s="4">
        <v>201.9</v>
      </c>
      <c r="H21" s="4">
        <v>127.39</v>
      </c>
      <c r="I21" s="4">
        <v>144.44</v>
      </c>
    </row>
    <row r="22" spans="1:9" x14ac:dyDescent="0.25">
      <c r="A22" t="s">
        <v>53</v>
      </c>
      <c r="B22" s="4">
        <v>167.27</v>
      </c>
      <c r="C22" s="4">
        <v>154.91</v>
      </c>
      <c r="D22" s="4">
        <v>169.27</v>
      </c>
      <c r="E22" s="4">
        <v>165.09</v>
      </c>
      <c r="F22" s="4">
        <v>199.97</v>
      </c>
      <c r="G22" s="4">
        <v>201.13</v>
      </c>
      <c r="H22" s="4">
        <v>132.44</v>
      </c>
      <c r="I22" s="4">
        <v>171.32</v>
      </c>
    </row>
    <row r="23" spans="1:9" x14ac:dyDescent="0.25">
      <c r="A23" t="s">
        <v>54</v>
      </c>
      <c r="B23" s="4">
        <v>156.35</v>
      </c>
      <c r="C23" s="4">
        <v>148.35</v>
      </c>
      <c r="D23" s="4">
        <v>134.94</v>
      </c>
      <c r="E23" s="4">
        <v>148.63</v>
      </c>
      <c r="F23" s="4">
        <v>223.85</v>
      </c>
      <c r="G23" s="4">
        <v>193.78</v>
      </c>
      <c r="H23" s="4">
        <v>111.9</v>
      </c>
      <c r="I23" s="4">
        <v>162.94999999999999</v>
      </c>
    </row>
    <row r="24" spans="1:9" x14ac:dyDescent="0.25">
      <c r="A24" t="s">
        <v>55</v>
      </c>
      <c r="B24" s="4">
        <v>165.92</v>
      </c>
      <c r="C24" s="4">
        <v>158.35</v>
      </c>
      <c r="D24" s="4">
        <v>150.13999999999999</v>
      </c>
      <c r="E24" s="4">
        <v>157.37</v>
      </c>
      <c r="F24" s="4">
        <v>226.12</v>
      </c>
      <c r="G24" s="4">
        <v>201.09</v>
      </c>
      <c r="H24" s="4">
        <v>115.55</v>
      </c>
      <c r="I24" s="4">
        <v>131.97</v>
      </c>
    </row>
    <row r="25" spans="1:9" x14ac:dyDescent="0.25">
      <c r="A25" t="s">
        <v>56</v>
      </c>
      <c r="B25" s="4">
        <v>173.8</v>
      </c>
      <c r="C25" s="4">
        <v>165.6</v>
      </c>
      <c r="D25" s="4">
        <v>173.62</v>
      </c>
      <c r="E25" s="4">
        <v>154.93</v>
      </c>
      <c r="F25" s="4">
        <v>205.67</v>
      </c>
      <c r="G25" s="4">
        <v>221.35</v>
      </c>
      <c r="H25" s="4">
        <v>122.04</v>
      </c>
      <c r="I25" s="4">
        <v>123.25</v>
      </c>
    </row>
    <row r="26" spans="1:9" x14ac:dyDescent="0.25">
      <c r="A26" t="s">
        <v>57</v>
      </c>
      <c r="B26" s="4">
        <v>162.56</v>
      </c>
      <c r="C26" s="4">
        <v>159.49</v>
      </c>
      <c r="D26" s="4">
        <v>185.95</v>
      </c>
      <c r="E26" s="4">
        <v>143.66</v>
      </c>
      <c r="F26" s="4">
        <v>254.58</v>
      </c>
      <c r="G26" s="4">
        <v>155</v>
      </c>
      <c r="H26" s="4">
        <v>104.32</v>
      </c>
      <c r="I26" s="4">
        <v>138.65</v>
      </c>
    </row>
    <row r="27" spans="1:9" x14ac:dyDescent="0.25">
      <c r="A27" t="s">
        <v>58</v>
      </c>
      <c r="B27" s="4">
        <v>167.06</v>
      </c>
      <c r="C27" s="4">
        <v>155.35</v>
      </c>
      <c r="D27" s="4">
        <v>172.63</v>
      </c>
      <c r="E27" s="4">
        <v>130.38999999999999</v>
      </c>
      <c r="F27" s="4">
        <v>277.42</v>
      </c>
      <c r="G27" s="4">
        <v>203.84</v>
      </c>
      <c r="H27" s="4">
        <v>117.97</v>
      </c>
      <c r="I27" s="4">
        <v>145.59</v>
      </c>
    </row>
    <row r="28" spans="1:9" x14ac:dyDescent="0.25">
      <c r="A28" t="s">
        <v>59</v>
      </c>
      <c r="B28" s="4">
        <v>118.61</v>
      </c>
      <c r="C28" s="4">
        <v>97.95</v>
      </c>
      <c r="D28" s="4">
        <v>116.89</v>
      </c>
      <c r="E28" s="4">
        <v>109.02</v>
      </c>
      <c r="F28" s="4">
        <v>187.18</v>
      </c>
      <c r="G28" s="4">
        <v>144.38</v>
      </c>
      <c r="H28" s="4">
        <v>120.72</v>
      </c>
      <c r="I28" s="4">
        <v>158.86000000000001</v>
      </c>
    </row>
    <row r="29" spans="1:9" x14ac:dyDescent="0.25">
      <c r="A29" t="s">
        <v>60</v>
      </c>
      <c r="B29" s="4">
        <v>159.97</v>
      </c>
      <c r="C29" s="4">
        <v>131.02000000000001</v>
      </c>
      <c r="D29" s="4">
        <v>170.7</v>
      </c>
      <c r="E29" s="4">
        <v>128.63999999999999</v>
      </c>
      <c r="F29" s="4">
        <v>245.05</v>
      </c>
      <c r="G29" s="4">
        <v>225.11</v>
      </c>
      <c r="H29" s="4">
        <v>119.21</v>
      </c>
      <c r="I29" s="4">
        <v>127.28</v>
      </c>
    </row>
    <row r="30" spans="1:9" x14ac:dyDescent="0.25">
      <c r="A30" t="s">
        <v>61</v>
      </c>
      <c r="B30" s="4">
        <v>153.97999999999999</v>
      </c>
      <c r="C30" s="4">
        <v>144.94999999999999</v>
      </c>
      <c r="D30" s="4">
        <v>156.52000000000001</v>
      </c>
      <c r="E30" s="4">
        <v>135.37</v>
      </c>
      <c r="F30" s="4">
        <v>197.95</v>
      </c>
      <c r="G30" s="4">
        <v>201.98</v>
      </c>
      <c r="H30" s="4">
        <v>134.68</v>
      </c>
      <c r="I30" s="4">
        <v>137.82</v>
      </c>
    </row>
    <row r="31" spans="1:9" x14ac:dyDescent="0.25">
      <c r="A31" t="s">
        <v>62</v>
      </c>
      <c r="B31" s="4">
        <v>168.52</v>
      </c>
      <c r="C31" s="4">
        <v>151.38</v>
      </c>
      <c r="D31" s="4">
        <v>183.81</v>
      </c>
      <c r="E31" s="4">
        <v>131.22</v>
      </c>
      <c r="F31" s="4">
        <v>233.92</v>
      </c>
      <c r="G31" s="4">
        <v>236.59</v>
      </c>
      <c r="H31" s="4">
        <v>132.22</v>
      </c>
      <c r="I31" s="4">
        <v>150.68</v>
      </c>
    </row>
    <row r="32" spans="1:9" x14ac:dyDescent="0.25">
      <c r="A32" t="s">
        <v>63</v>
      </c>
      <c r="B32" s="4">
        <v>133.59</v>
      </c>
      <c r="C32" s="4">
        <v>110.57</v>
      </c>
      <c r="D32" s="4">
        <v>130.58000000000001</v>
      </c>
      <c r="E32" s="4">
        <v>141.18</v>
      </c>
      <c r="F32" s="4">
        <v>164.65</v>
      </c>
      <c r="G32" s="4">
        <v>167.4</v>
      </c>
      <c r="H32" s="4">
        <v>122.59</v>
      </c>
      <c r="I32" s="4">
        <v>174.19</v>
      </c>
    </row>
    <row r="33" spans="1:9" x14ac:dyDescent="0.25">
      <c r="A33" t="s">
        <v>64</v>
      </c>
      <c r="B33" s="4">
        <v>145.13999999999999</v>
      </c>
      <c r="C33" s="4">
        <v>106.67</v>
      </c>
      <c r="D33" s="4">
        <v>160.22999999999999</v>
      </c>
      <c r="E33" s="4">
        <v>153.04</v>
      </c>
      <c r="F33" s="4">
        <v>194.6</v>
      </c>
      <c r="G33" s="4">
        <v>190.2</v>
      </c>
      <c r="H33" s="4">
        <v>109.28</v>
      </c>
      <c r="I33" s="4">
        <v>182.97</v>
      </c>
    </row>
    <row r="34" spans="1:9" x14ac:dyDescent="0.25">
      <c r="A34" t="s">
        <v>65</v>
      </c>
      <c r="B34" s="4">
        <v>165.73</v>
      </c>
      <c r="C34" s="4">
        <v>145.77000000000001</v>
      </c>
      <c r="D34" s="4">
        <v>142.33000000000001</v>
      </c>
      <c r="E34" s="4">
        <v>154.13999999999999</v>
      </c>
      <c r="F34" s="4">
        <v>190.19</v>
      </c>
      <c r="G34" s="4">
        <v>249.48</v>
      </c>
      <c r="H34" s="4">
        <v>110.58</v>
      </c>
      <c r="I34" s="4">
        <v>139.68</v>
      </c>
    </row>
    <row r="35" spans="1:9" x14ac:dyDescent="0.25">
      <c r="A35" t="s">
        <v>66</v>
      </c>
      <c r="B35" s="4">
        <v>163.52000000000001</v>
      </c>
      <c r="C35" s="4">
        <v>130.37</v>
      </c>
      <c r="D35" s="4">
        <v>174.29</v>
      </c>
      <c r="E35" s="4">
        <v>144.34</v>
      </c>
      <c r="F35" s="4">
        <v>259.27</v>
      </c>
      <c r="G35" s="4">
        <v>214.81</v>
      </c>
      <c r="H35" s="4">
        <v>121.25</v>
      </c>
      <c r="I35" s="4">
        <v>165.22</v>
      </c>
    </row>
    <row r="36" spans="1:9" x14ac:dyDescent="0.25">
      <c r="A36" t="s">
        <v>67</v>
      </c>
      <c r="B36" s="4">
        <v>175.03</v>
      </c>
      <c r="C36" s="4">
        <v>180.1</v>
      </c>
      <c r="D36" s="4">
        <v>194.91</v>
      </c>
      <c r="E36" s="4">
        <v>151.25</v>
      </c>
      <c r="F36" s="4">
        <v>269.42</v>
      </c>
      <c r="G36" s="4">
        <v>154.56</v>
      </c>
      <c r="H36" s="4">
        <v>126.37</v>
      </c>
      <c r="I36" s="4">
        <v>159.5</v>
      </c>
    </row>
    <row r="37" spans="1:9" x14ac:dyDescent="0.25">
      <c r="A37" t="s">
        <v>68</v>
      </c>
      <c r="B37" s="4">
        <v>186.18</v>
      </c>
      <c r="C37" s="4">
        <v>160.26</v>
      </c>
      <c r="D37" s="4">
        <v>195</v>
      </c>
      <c r="E37" s="4">
        <v>163.89</v>
      </c>
      <c r="F37" s="4">
        <v>269.17</v>
      </c>
      <c r="G37" s="4">
        <v>239.32</v>
      </c>
      <c r="H37" s="4">
        <v>138.06</v>
      </c>
      <c r="I37" s="4">
        <v>149.19999999999999</v>
      </c>
    </row>
    <row r="38" spans="1:9" x14ac:dyDescent="0.25">
      <c r="A38" t="s">
        <v>69</v>
      </c>
      <c r="B38" s="4">
        <v>174.91</v>
      </c>
      <c r="C38" s="4">
        <v>172.31</v>
      </c>
      <c r="D38" s="4">
        <v>187.18</v>
      </c>
      <c r="E38" s="4">
        <v>155</v>
      </c>
      <c r="F38" s="4">
        <v>236.94</v>
      </c>
      <c r="G38" s="4">
        <v>191.3</v>
      </c>
      <c r="H38" s="4">
        <v>127.62</v>
      </c>
      <c r="I38" s="4">
        <v>178.65</v>
      </c>
    </row>
    <row r="39" spans="1:9" x14ac:dyDescent="0.25">
      <c r="A39" t="s">
        <v>70</v>
      </c>
      <c r="B39" s="4">
        <v>177.92</v>
      </c>
      <c r="C39" s="4">
        <v>166.38</v>
      </c>
      <c r="D39" s="4">
        <v>186.56</v>
      </c>
      <c r="E39" s="4">
        <v>127.37</v>
      </c>
      <c r="F39" s="4">
        <v>256.14999999999998</v>
      </c>
      <c r="G39" s="4">
        <v>253.96</v>
      </c>
      <c r="H39" s="4">
        <v>125.16</v>
      </c>
      <c r="I39" s="4">
        <v>177.22</v>
      </c>
    </row>
    <row r="40" spans="1:9" x14ac:dyDescent="0.25">
      <c r="A40" t="s">
        <v>71</v>
      </c>
      <c r="B40" s="4">
        <v>163.54</v>
      </c>
      <c r="C40" s="4">
        <v>160.31</v>
      </c>
      <c r="D40" s="4">
        <v>158.55000000000001</v>
      </c>
      <c r="E40" s="4">
        <v>120.85</v>
      </c>
      <c r="F40" s="4">
        <v>241.11</v>
      </c>
      <c r="G40" s="4">
        <v>206.77</v>
      </c>
      <c r="H40" s="4">
        <v>123.91</v>
      </c>
      <c r="I40" s="4">
        <v>146.59</v>
      </c>
    </row>
    <row r="41" spans="1:9" x14ac:dyDescent="0.25">
      <c r="A41" t="s">
        <v>72</v>
      </c>
      <c r="B41" s="4">
        <v>167.54</v>
      </c>
      <c r="C41" s="4">
        <v>166.34</v>
      </c>
      <c r="D41" s="4">
        <v>147.69</v>
      </c>
      <c r="E41" s="4">
        <v>137.63</v>
      </c>
      <c r="F41" s="4">
        <v>248.24</v>
      </c>
      <c r="G41" s="4">
        <v>213.18</v>
      </c>
      <c r="H41" s="4">
        <v>106.59</v>
      </c>
      <c r="I41" s="4">
        <v>149.4</v>
      </c>
    </row>
    <row r="42" spans="1:9" x14ac:dyDescent="0.25">
      <c r="A42" t="s">
        <v>73</v>
      </c>
      <c r="B42" s="4">
        <v>191.31</v>
      </c>
      <c r="C42" s="4">
        <v>182.33</v>
      </c>
      <c r="D42" s="4">
        <v>214.01</v>
      </c>
      <c r="E42" s="4">
        <v>145.91</v>
      </c>
      <c r="F42" s="4">
        <v>297.2</v>
      </c>
      <c r="G42" s="4">
        <v>230.11</v>
      </c>
      <c r="H42" s="4">
        <v>108.11</v>
      </c>
      <c r="I42" s="4">
        <v>147.79</v>
      </c>
    </row>
    <row r="43" spans="1:9" x14ac:dyDescent="0.25">
      <c r="A43" t="s">
        <v>74</v>
      </c>
      <c r="B43" s="4">
        <v>167.82</v>
      </c>
      <c r="C43" s="4">
        <v>145.59</v>
      </c>
      <c r="D43" s="4">
        <v>188.49</v>
      </c>
      <c r="E43" s="4">
        <v>139.74</v>
      </c>
      <c r="F43" s="4">
        <v>248.78</v>
      </c>
      <c r="G43" s="4">
        <v>217</v>
      </c>
      <c r="H43" s="4">
        <v>118.88</v>
      </c>
      <c r="I43" s="4">
        <v>161.88</v>
      </c>
    </row>
    <row r="44" spans="1:9" x14ac:dyDescent="0.25">
      <c r="A44" t="s">
        <v>75</v>
      </c>
      <c r="B44" s="4">
        <v>148.05000000000001</v>
      </c>
      <c r="C44" s="4">
        <v>103.23</v>
      </c>
      <c r="D44" s="4">
        <v>154.33000000000001</v>
      </c>
      <c r="E44" s="4">
        <v>123.75</v>
      </c>
      <c r="F44" s="4">
        <v>222.62</v>
      </c>
      <c r="G44" s="4">
        <v>228.98</v>
      </c>
      <c r="H44" s="4">
        <v>127.57</v>
      </c>
      <c r="I44" s="4">
        <v>137.30000000000001</v>
      </c>
    </row>
    <row r="45" spans="1:9" x14ac:dyDescent="0.25">
      <c r="A45" t="s">
        <v>76</v>
      </c>
      <c r="B45" s="4">
        <v>130.97999999999999</v>
      </c>
      <c r="C45" s="4">
        <v>90.72</v>
      </c>
      <c r="D45" s="4">
        <v>184.98</v>
      </c>
      <c r="E45" s="4">
        <v>115.02</v>
      </c>
      <c r="F45" s="4">
        <v>188.63</v>
      </c>
      <c r="G45" s="4">
        <v>162.87</v>
      </c>
      <c r="H45" s="4">
        <v>110.09</v>
      </c>
      <c r="I45" s="4">
        <v>125.53</v>
      </c>
    </row>
    <row r="46" spans="1:9" x14ac:dyDescent="0.25">
      <c r="A46" t="s">
        <v>77</v>
      </c>
      <c r="B46" s="4">
        <v>171.21</v>
      </c>
      <c r="C46" s="4">
        <v>166.19</v>
      </c>
      <c r="D46" s="4">
        <v>200.55</v>
      </c>
      <c r="E46" s="4">
        <v>134.28</v>
      </c>
      <c r="F46" s="4">
        <v>217.76</v>
      </c>
      <c r="G46" s="4">
        <v>204.48</v>
      </c>
      <c r="H46" s="4">
        <v>128.38999999999999</v>
      </c>
      <c r="I46" s="4">
        <v>128.6</v>
      </c>
    </row>
    <row r="47" spans="1:9" x14ac:dyDescent="0.25">
      <c r="A47" t="s">
        <v>78</v>
      </c>
      <c r="B47" s="4">
        <v>191.06</v>
      </c>
      <c r="C47" s="4">
        <v>180.33</v>
      </c>
      <c r="D47" s="4">
        <v>203.12</v>
      </c>
      <c r="E47" s="4">
        <v>150.31</v>
      </c>
      <c r="F47" s="4">
        <v>207.45</v>
      </c>
      <c r="G47" s="4">
        <v>265.23</v>
      </c>
      <c r="H47" s="4">
        <v>117.84</v>
      </c>
      <c r="I47" s="4">
        <v>141.35</v>
      </c>
    </row>
    <row r="48" spans="1:9" x14ac:dyDescent="0.25">
      <c r="A48" t="s">
        <v>79</v>
      </c>
      <c r="B48" s="4">
        <v>188.43</v>
      </c>
      <c r="C48" s="4">
        <v>156.03</v>
      </c>
      <c r="D48" s="4">
        <v>202</v>
      </c>
      <c r="E48" s="4">
        <v>159.06</v>
      </c>
      <c r="F48" s="4">
        <v>255.82</v>
      </c>
      <c r="G48" s="4">
        <v>264.95999999999998</v>
      </c>
      <c r="H48" s="4">
        <v>120.6</v>
      </c>
      <c r="I48" s="4">
        <v>138.03</v>
      </c>
    </row>
    <row r="49" spans="1:9" x14ac:dyDescent="0.25">
      <c r="A49" t="s">
        <v>80</v>
      </c>
      <c r="B49" s="4">
        <v>174.17</v>
      </c>
      <c r="C49" s="4">
        <v>140.85</v>
      </c>
      <c r="D49" s="4">
        <v>209.34</v>
      </c>
      <c r="E49" s="4">
        <v>156.9</v>
      </c>
      <c r="F49" s="4">
        <v>255.28</v>
      </c>
      <c r="G49" s="4">
        <v>184.67</v>
      </c>
      <c r="H49" s="4">
        <v>128.59</v>
      </c>
      <c r="I49" s="4">
        <v>148.11000000000001</v>
      </c>
    </row>
    <row r="50" spans="1:9" x14ac:dyDescent="0.25">
      <c r="A50" t="s">
        <v>81</v>
      </c>
      <c r="B50" s="4">
        <v>188.67</v>
      </c>
      <c r="C50" s="4">
        <v>174.42</v>
      </c>
      <c r="D50" s="4">
        <v>176.69</v>
      </c>
      <c r="E50" s="4">
        <v>173.58</v>
      </c>
      <c r="F50" s="4">
        <v>189.95</v>
      </c>
      <c r="G50" s="4">
        <v>237.12</v>
      </c>
      <c r="H50" s="4">
        <v>118.93</v>
      </c>
      <c r="I50" s="4">
        <v>163.88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workbookViewId="0">
      <pane xSplit="1" ySplit="2" topLeftCell="B27" activePane="bottomRight" state="frozen"/>
      <selection pane="topRight"/>
      <selection pane="bottomLeft"/>
      <selection pane="bottomRight" activeCell="F40" sqref="F40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83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t="s">
        <v>84</v>
      </c>
      <c r="I3" t="s">
        <v>84</v>
      </c>
    </row>
    <row r="4" spans="1:9" x14ac:dyDescent="0.25">
      <c r="A4" t="s">
        <v>35</v>
      </c>
      <c r="B4" s="4">
        <v>152.15</v>
      </c>
      <c r="C4" s="4">
        <v>126.8</v>
      </c>
      <c r="D4" s="4">
        <v>161.93</v>
      </c>
      <c r="E4" s="4">
        <v>158.37</v>
      </c>
      <c r="F4" s="4">
        <v>229.29</v>
      </c>
      <c r="G4" s="4">
        <v>155.02000000000001</v>
      </c>
      <c r="H4" t="s">
        <v>84</v>
      </c>
      <c r="I4" t="s">
        <v>84</v>
      </c>
    </row>
    <row r="5" spans="1:9" x14ac:dyDescent="0.25">
      <c r="A5" t="s">
        <v>36</v>
      </c>
      <c r="B5" s="4">
        <v>146.53</v>
      </c>
      <c r="C5" s="4">
        <v>133.44999999999999</v>
      </c>
      <c r="D5" s="4">
        <v>165.13</v>
      </c>
      <c r="E5" s="4">
        <v>106.95</v>
      </c>
      <c r="F5" s="4">
        <v>306.82</v>
      </c>
      <c r="G5" s="4">
        <v>127.29</v>
      </c>
      <c r="H5" t="s">
        <v>84</v>
      </c>
      <c r="I5" t="s">
        <v>84</v>
      </c>
    </row>
    <row r="6" spans="1:9" x14ac:dyDescent="0.25">
      <c r="A6" t="s">
        <v>37</v>
      </c>
      <c r="B6" s="4">
        <v>104.75</v>
      </c>
      <c r="C6" s="4">
        <v>82.03</v>
      </c>
      <c r="D6" s="4">
        <v>128.99</v>
      </c>
      <c r="E6" s="4">
        <v>71.61</v>
      </c>
      <c r="F6" s="4">
        <v>175.88</v>
      </c>
      <c r="G6" s="4">
        <v>116.17</v>
      </c>
      <c r="H6" t="s">
        <v>84</v>
      </c>
      <c r="I6" t="s">
        <v>84</v>
      </c>
    </row>
    <row r="7" spans="1:9" x14ac:dyDescent="0.25">
      <c r="A7" t="s">
        <v>38</v>
      </c>
      <c r="B7" s="4">
        <v>138.69</v>
      </c>
      <c r="C7" s="4">
        <v>114.76</v>
      </c>
      <c r="D7" s="4">
        <v>158.16</v>
      </c>
      <c r="E7" s="4">
        <v>119.2</v>
      </c>
      <c r="F7" s="4">
        <v>222.28</v>
      </c>
      <c r="G7" s="4">
        <v>141.53</v>
      </c>
      <c r="H7" t="s">
        <v>84</v>
      </c>
      <c r="I7" t="s">
        <v>84</v>
      </c>
    </row>
    <row r="8" spans="1:9" x14ac:dyDescent="0.25">
      <c r="A8" t="s">
        <v>39</v>
      </c>
      <c r="B8" s="4">
        <v>97.3</v>
      </c>
      <c r="C8" s="4">
        <v>55.91</v>
      </c>
      <c r="D8" s="4">
        <v>36.31</v>
      </c>
      <c r="E8" s="4">
        <v>90.47</v>
      </c>
      <c r="F8" s="4">
        <v>115.69</v>
      </c>
      <c r="G8" s="4">
        <v>177.56</v>
      </c>
      <c r="H8" t="s">
        <v>84</v>
      </c>
      <c r="I8" t="s">
        <v>84</v>
      </c>
    </row>
    <row r="9" spans="1:9" x14ac:dyDescent="0.25">
      <c r="A9" t="s">
        <v>40</v>
      </c>
      <c r="B9" s="4">
        <v>167.34</v>
      </c>
      <c r="C9" s="4">
        <v>155.16999999999999</v>
      </c>
      <c r="D9" s="4">
        <v>172.96</v>
      </c>
      <c r="E9" s="4">
        <v>136.65</v>
      </c>
      <c r="F9" s="4">
        <v>314.60000000000002</v>
      </c>
      <c r="G9" s="4">
        <v>145.4</v>
      </c>
      <c r="H9" t="s">
        <v>84</v>
      </c>
      <c r="I9" t="s">
        <v>84</v>
      </c>
    </row>
    <row r="10" spans="1:9" x14ac:dyDescent="0.25">
      <c r="A10" t="s">
        <v>41</v>
      </c>
      <c r="B10" s="4">
        <v>154</v>
      </c>
      <c r="C10" s="4">
        <v>116.34</v>
      </c>
      <c r="D10" s="4">
        <v>145.97999999999999</v>
      </c>
      <c r="E10" s="4">
        <v>120.42</v>
      </c>
      <c r="F10" s="4">
        <v>255.77</v>
      </c>
      <c r="G10" s="4">
        <v>201.99</v>
      </c>
      <c r="H10" t="s">
        <v>84</v>
      </c>
      <c r="I10" t="s">
        <v>84</v>
      </c>
    </row>
    <row r="11" spans="1:9" x14ac:dyDescent="0.25">
      <c r="A11" t="s">
        <v>42</v>
      </c>
      <c r="B11" s="4">
        <v>163.24</v>
      </c>
      <c r="C11" s="4">
        <v>132.86000000000001</v>
      </c>
      <c r="D11" s="4">
        <v>144.94999999999999</v>
      </c>
      <c r="E11" s="4">
        <v>142.46</v>
      </c>
      <c r="F11" s="4">
        <v>256.2</v>
      </c>
      <c r="G11" s="4">
        <v>195.36</v>
      </c>
      <c r="H11" t="s">
        <v>84</v>
      </c>
      <c r="I11" t="s">
        <v>84</v>
      </c>
    </row>
    <row r="12" spans="1:9" x14ac:dyDescent="0.25">
      <c r="A12" t="s">
        <v>43</v>
      </c>
      <c r="B12" s="4">
        <v>175.6</v>
      </c>
      <c r="C12" s="4">
        <v>121.57</v>
      </c>
      <c r="D12" s="4">
        <v>200.8</v>
      </c>
      <c r="E12" s="4">
        <v>118.82</v>
      </c>
      <c r="F12" s="4">
        <v>287.86</v>
      </c>
      <c r="G12" s="4">
        <v>234.33</v>
      </c>
      <c r="H12" t="s">
        <v>84</v>
      </c>
      <c r="I12" t="s">
        <v>84</v>
      </c>
    </row>
    <row r="13" spans="1:9" x14ac:dyDescent="0.25">
      <c r="A13" t="s">
        <v>44</v>
      </c>
      <c r="B13" s="4">
        <v>180.16</v>
      </c>
      <c r="C13" s="4">
        <v>136.72999999999999</v>
      </c>
      <c r="D13" s="4">
        <v>189.19</v>
      </c>
      <c r="E13" s="4">
        <v>162.27000000000001</v>
      </c>
      <c r="F13" s="4">
        <v>261.99</v>
      </c>
      <c r="G13" s="4">
        <v>194.11</v>
      </c>
      <c r="H13" t="s">
        <v>84</v>
      </c>
      <c r="I13" t="s">
        <v>84</v>
      </c>
    </row>
    <row r="14" spans="1:9" x14ac:dyDescent="0.25">
      <c r="A14" t="s">
        <v>45</v>
      </c>
      <c r="B14" s="4">
        <v>183.44</v>
      </c>
      <c r="C14" s="4">
        <v>139.12</v>
      </c>
      <c r="D14" s="4">
        <v>149.18</v>
      </c>
      <c r="E14" s="4">
        <v>174.74</v>
      </c>
      <c r="F14" s="4">
        <v>200.04</v>
      </c>
      <c r="G14" s="4">
        <v>244.99</v>
      </c>
      <c r="H14" t="s">
        <v>84</v>
      </c>
      <c r="I14" t="s">
        <v>84</v>
      </c>
    </row>
    <row r="15" spans="1:9" x14ac:dyDescent="0.25">
      <c r="A15" t="s">
        <v>46</v>
      </c>
      <c r="B15" s="4">
        <v>197.04</v>
      </c>
      <c r="C15" s="4">
        <v>167.32</v>
      </c>
      <c r="D15" s="4">
        <v>159.56</v>
      </c>
      <c r="E15" s="4">
        <v>130.35</v>
      </c>
      <c r="F15" s="4">
        <v>393.91</v>
      </c>
      <c r="G15" s="4">
        <v>248.18</v>
      </c>
      <c r="H15" t="s">
        <v>84</v>
      </c>
      <c r="I15" t="s">
        <v>84</v>
      </c>
    </row>
    <row r="16" spans="1:9" x14ac:dyDescent="0.25">
      <c r="A16" t="s">
        <v>47</v>
      </c>
      <c r="B16" s="4">
        <v>194.63</v>
      </c>
      <c r="C16" s="4">
        <v>150.04</v>
      </c>
      <c r="D16" s="4">
        <v>142.96</v>
      </c>
      <c r="E16" s="4">
        <v>179.35</v>
      </c>
      <c r="F16" s="4">
        <v>284.77999999999997</v>
      </c>
      <c r="G16" s="4">
        <v>272.64</v>
      </c>
      <c r="H16" t="s">
        <v>84</v>
      </c>
      <c r="I16" t="s">
        <v>84</v>
      </c>
    </row>
    <row r="17" spans="1:9" x14ac:dyDescent="0.25">
      <c r="A17" t="s">
        <v>48</v>
      </c>
      <c r="B17" s="4">
        <v>188.09</v>
      </c>
      <c r="C17" s="4">
        <v>141.74</v>
      </c>
      <c r="D17" s="4">
        <v>180.57</v>
      </c>
      <c r="E17" s="4">
        <v>151.32</v>
      </c>
      <c r="F17" s="4">
        <v>338.23</v>
      </c>
      <c r="G17" s="4">
        <v>231.82</v>
      </c>
      <c r="H17" t="s">
        <v>84</v>
      </c>
      <c r="I17" t="s">
        <v>84</v>
      </c>
    </row>
    <row r="18" spans="1:9" x14ac:dyDescent="0.25">
      <c r="A18" t="s">
        <v>49</v>
      </c>
      <c r="B18" s="4">
        <v>219.47</v>
      </c>
      <c r="C18" s="4">
        <v>167.22</v>
      </c>
      <c r="D18" s="4">
        <v>243.05</v>
      </c>
      <c r="E18" s="4">
        <v>142.69999999999999</v>
      </c>
      <c r="F18" s="4">
        <v>376.87</v>
      </c>
      <c r="G18" s="4">
        <v>272.11</v>
      </c>
      <c r="H18" t="s">
        <v>84</v>
      </c>
      <c r="I18" t="s">
        <v>84</v>
      </c>
    </row>
    <row r="19" spans="1:9" x14ac:dyDescent="0.25">
      <c r="A19" t="s">
        <v>50</v>
      </c>
      <c r="B19" s="4">
        <v>234.88</v>
      </c>
      <c r="C19" s="4">
        <v>180.33</v>
      </c>
      <c r="D19" s="4">
        <v>223.86</v>
      </c>
      <c r="E19" s="4">
        <v>156.91</v>
      </c>
      <c r="F19" s="4">
        <v>407.06</v>
      </c>
      <c r="G19" s="4">
        <v>290.55</v>
      </c>
      <c r="H19" t="s">
        <v>84</v>
      </c>
      <c r="I19" t="s">
        <v>84</v>
      </c>
    </row>
    <row r="20" spans="1:9" x14ac:dyDescent="0.25">
      <c r="A20" t="s">
        <v>51</v>
      </c>
      <c r="B20" s="4">
        <v>164.26</v>
      </c>
      <c r="C20" s="4">
        <v>116.07</v>
      </c>
      <c r="D20" s="4">
        <v>103.01</v>
      </c>
      <c r="E20" s="4">
        <v>118.87</v>
      </c>
      <c r="F20" s="4">
        <v>267.69</v>
      </c>
      <c r="G20" s="4">
        <v>242.16</v>
      </c>
      <c r="H20" t="s">
        <v>84</v>
      </c>
      <c r="I20" t="s">
        <v>84</v>
      </c>
    </row>
    <row r="21" spans="1:9" x14ac:dyDescent="0.25">
      <c r="A21" t="s">
        <v>52</v>
      </c>
      <c r="B21" s="4">
        <v>220.91</v>
      </c>
      <c r="C21" s="4">
        <v>163.24</v>
      </c>
      <c r="D21" s="4">
        <v>227.42</v>
      </c>
      <c r="E21" s="4">
        <v>108.63</v>
      </c>
      <c r="F21" s="4">
        <v>375.69</v>
      </c>
      <c r="G21" s="4">
        <v>287.44</v>
      </c>
      <c r="H21" t="s">
        <v>84</v>
      </c>
      <c r="I21" t="s">
        <v>84</v>
      </c>
    </row>
    <row r="22" spans="1:9" x14ac:dyDescent="0.25">
      <c r="A22" t="s">
        <v>53</v>
      </c>
      <c r="B22" s="4">
        <v>232.98</v>
      </c>
      <c r="C22" s="4">
        <v>192.87</v>
      </c>
      <c r="D22" s="4">
        <v>222.8</v>
      </c>
      <c r="E22" s="4">
        <v>177.13</v>
      </c>
      <c r="F22" s="4">
        <v>352.15</v>
      </c>
      <c r="G22" s="4">
        <v>277.66000000000003</v>
      </c>
      <c r="H22" t="s">
        <v>84</v>
      </c>
      <c r="I22" t="s">
        <v>84</v>
      </c>
    </row>
    <row r="23" spans="1:9" x14ac:dyDescent="0.25">
      <c r="A23" t="s">
        <v>54</v>
      </c>
      <c r="B23" s="4">
        <v>211.34</v>
      </c>
      <c r="C23" s="4">
        <v>170.37</v>
      </c>
      <c r="D23" s="4">
        <v>146.09</v>
      </c>
      <c r="E23" s="4">
        <v>155.56</v>
      </c>
      <c r="F23" s="4">
        <v>382.29</v>
      </c>
      <c r="G23" s="4">
        <v>270.29000000000002</v>
      </c>
      <c r="H23" t="s">
        <v>84</v>
      </c>
      <c r="I23" t="s">
        <v>84</v>
      </c>
    </row>
    <row r="24" spans="1:9" x14ac:dyDescent="0.25">
      <c r="A24" t="s">
        <v>55</v>
      </c>
      <c r="B24" s="4">
        <v>226.97</v>
      </c>
      <c r="C24" s="4">
        <v>197.27</v>
      </c>
      <c r="D24" s="4">
        <v>161.63</v>
      </c>
      <c r="E24" s="4">
        <v>165.4</v>
      </c>
      <c r="F24" s="4">
        <v>374.96</v>
      </c>
      <c r="G24" s="4">
        <v>278.52</v>
      </c>
      <c r="H24" t="s">
        <v>84</v>
      </c>
      <c r="I24" t="s">
        <v>84</v>
      </c>
    </row>
    <row r="25" spans="1:9" x14ac:dyDescent="0.25">
      <c r="A25" t="s">
        <v>56</v>
      </c>
      <c r="B25" s="4">
        <v>237.28</v>
      </c>
      <c r="C25" s="4">
        <v>188.64</v>
      </c>
      <c r="D25" s="4">
        <v>228.31</v>
      </c>
      <c r="E25" s="4">
        <v>183.7</v>
      </c>
      <c r="F25" s="4">
        <v>323.62</v>
      </c>
      <c r="G25" s="4">
        <v>308.49</v>
      </c>
      <c r="H25" t="s">
        <v>84</v>
      </c>
      <c r="I25" t="s">
        <v>84</v>
      </c>
    </row>
    <row r="26" spans="1:9" x14ac:dyDescent="0.25">
      <c r="A26" t="s">
        <v>57</v>
      </c>
      <c r="B26" s="4">
        <v>217.81</v>
      </c>
      <c r="C26" s="4">
        <v>174.67</v>
      </c>
      <c r="D26" s="4">
        <v>234.04</v>
      </c>
      <c r="E26" s="4">
        <v>164.6</v>
      </c>
      <c r="F26" s="4">
        <v>440.32</v>
      </c>
      <c r="G26" s="4">
        <v>204.26</v>
      </c>
      <c r="H26" t="s">
        <v>84</v>
      </c>
      <c r="I26" t="s">
        <v>84</v>
      </c>
    </row>
    <row r="27" spans="1:9" x14ac:dyDescent="0.25">
      <c r="A27" t="s">
        <v>58</v>
      </c>
      <c r="B27" s="4">
        <v>247.15</v>
      </c>
      <c r="C27" s="4">
        <v>184.39</v>
      </c>
      <c r="D27" s="4">
        <v>222.16</v>
      </c>
      <c r="E27" s="4">
        <v>176.88</v>
      </c>
      <c r="F27" s="4">
        <v>496.04</v>
      </c>
      <c r="G27" s="4">
        <v>286.29000000000002</v>
      </c>
      <c r="H27" t="s">
        <v>84</v>
      </c>
      <c r="I27" t="s">
        <v>84</v>
      </c>
    </row>
    <row r="28" spans="1:9" x14ac:dyDescent="0.25">
      <c r="A28" t="s">
        <v>59</v>
      </c>
      <c r="B28" s="4">
        <v>134.33000000000001</v>
      </c>
      <c r="C28" s="4">
        <v>106.53</v>
      </c>
      <c r="D28" s="4">
        <v>80.41</v>
      </c>
      <c r="E28" s="4">
        <v>113.5</v>
      </c>
      <c r="F28" s="4">
        <v>280.01</v>
      </c>
      <c r="G28" s="4">
        <v>154.32</v>
      </c>
      <c r="H28" t="s">
        <v>84</v>
      </c>
      <c r="I28" t="s">
        <v>84</v>
      </c>
    </row>
    <row r="29" spans="1:9" x14ac:dyDescent="0.25">
      <c r="A29" t="s">
        <v>60</v>
      </c>
      <c r="B29" s="4">
        <v>238.68</v>
      </c>
      <c r="C29" s="4">
        <v>154.6</v>
      </c>
      <c r="D29" s="4">
        <v>237.06</v>
      </c>
      <c r="E29" s="4">
        <v>173.18</v>
      </c>
      <c r="F29" s="4">
        <v>432.22</v>
      </c>
      <c r="G29" s="4">
        <v>326.62</v>
      </c>
      <c r="H29" t="s">
        <v>84</v>
      </c>
      <c r="I29" t="s">
        <v>84</v>
      </c>
    </row>
    <row r="30" spans="1:9" x14ac:dyDescent="0.25">
      <c r="A30" t="s">
        <v>61</v>
      </c>
      <c r="B30" s="4">
        <v>208.52</v>
      </c>
      <c r="C30" s="4">
        <v>185.15</v>
      </c>
      <c r="D30" s="4">
        <v>156.33000000000001</v>
      </c>
      <c r="E30" s="4">
        <v>158.97999999999999</v>
      </c>
      <c r="F30" s="4">
        <v>316.49</v>
      </c>
      <c r="G30" s="4">
        <v>267.23</v>
      </c>
      <c r="H30" t="s">
        <v>84</v>
      </c>
      <c r="I30" t="s">
        <v>84</v>
      </c>
    </row>
    <row r="31" spans="1:9" x14ac:dyDescent="0.25">
      <c r="A31" t="s">
        <v>62</v>
      </c>
      <c r="B31" s="4">
        <v>253.97</v>
      </c>
      <c r="C31" s="4">
        <v>202.67</v>
      </c>
      <c r="D31" s="4">
        <v>235.98</v>
      </c>
      <c r="E31" s="4">
        <v>167.61</v>
      </c>
      <c r="F31" s="4">
        <v>440.02</v>
      </c>
      <c r="G31" s="4">
        <v>301.24</v>
      </c>
      <c r="H31" t="s">
        <v>84</v>
      </c>
      <c r="I31" t="s">
        <v>84</v>
      </c>
    </row>
    <row r="32" spans="1:9" x14ac:dyDescent="0.25">
      <c r="A32" t="s">
        <v>63</v>
      </c>
      <c r="B32" s="4">
        <v>144.04</v>
      </c>
      <c r="C32" s="4">
        <v>110.78</v>
      </c>
      <c r="D32" s="4">
        <v>119.23</v>
      </c>
      <c r="E32" s="4">
        <v>114.72</v>
      </c>
      <c r="F32" s="4">
        <v>246.95</v>
      </c>
      <c r="G32" s="4">
        <v>182.45</v>
      </c>
      <c r="H32" t="s">
        <v>84</v>
      </c>
      <c r="I32" t="s">
        <v>84</v>
      </c>
    </row>
    <row r="33" spans="1:9" x14ac:dyDescent="0.25">
      <c r="A33" t="s">
        <v>64</v>
      </c>
      <c r="B33" s="4">
        <v>171.62</v>
      </c>
      <c r="C33" s="4">
        <v>93.87</v>
      </c>
      <c r="D33" s="4">
        <v>183.93</v>
      </c>
      <c r="E33" s="4">
        <v>193.75</v>
      </c>
      <c r="F33" s="4">
        <v>283.24</v>
      </c>
      <c r="G33" s="4">
        <v>225.3</v>
      </c>
      <c r="H33" t="s">
        <v>84</v>
      </c>
      <c r="I33" t="s">
        <v>84</v>
      </c>
    </row>
    <row r="34" spans="1:9" x14ac:dyDescent="0.25">
      <c r="A34" t="s">
        <v>65</v>
      </c>
      <c r="B34" s="4">
        <v>252.49</v>
      </c>
      <c r="C34" s="4">
        <v>176.39</v>
      </c>
      <c r="D34" s="4">
        <v>186.68</v>
      </c>
      <c r="E34" s="4">
        <v>228.68</v>
      </c>
      <c r="F34" s="4">
        <v>380.46</v>
      </c>
      <c r="G34" s="4">
        <v>346.72</v>
      </c>
      <c r="H34" t="s">
        <v>84</v>
      </c>
      <c r="I34" t="s">
        <v>84</v>
      </c>
    </row>
    <row r="35" spans="1:9" x14ac:dyDescent="0.25">
      <c r="A35" t="s">
        <v>66</v>
      </c>
      <c r="B35" s="4">
        <v>233.34</v>
      </c>
      <c r="C35" s="4">
        <v>146.09</v>
      </c>
      <c r="D35" s="4">
        <v>228.53</v>
      </c>
      <c r="E35" s="4">
        <v>170.1</v>
      </c>
      <c r="F35" s="4">
        <v>488.66</v>
      </c>
      <c r="G35" s="4">
        <v>285.19</v>
      </c>
      <c r="H35" t="s">
        <v>84</v>
      </c>
      <c r="I35" t="s">
        <v>84</v>
      </c>
    </row>
    <row r="36" spans="1:9" x14ac:dyDescent="0.25">
      <c r="A36" t="s">
        <v>67</v>
      </c>
      <c r="B36" s="4">
        <v>250.47</v>
      </c>
      <c r="C36" s="4">
        <v>232.83</v>
      </c>
      <c r="D36" s="4">
        <v>278.10000000000002</v>
      </c>
      <c r="E36" s="4">
        <v>145.5</v>
      </c>
      <c r="F36" s="4">
        <v>512.41999999999996</v>
      </c>
      <c r="G36" s="4">
        <v>200.91</v>
      </c>
      <c r="H36" t="s">
        <v>84</v>
      </c>
      <c r="I36" t="s">
        <v>84</v>
      </c>
    </row>
    <row r="37" spans="1:9" x14ac:dyDescent="0.25">
      <c r="A37" t="s">
        <v>68</v>
      </c>
      <c r="B37" s="4">
        <v>274.43</v>
      </c>
      <c r="C37" s="4">
        <v>188.95</v>
      </c>
      <c r="D37" s="4">
        <v>276.60000000000002</v>
      </c>
      <c r="E37" s="4">
        <v>220.36</v>
      </c>
      <c r="F37" s="4">
        <v>486.67</v>
      </c>
      <c r="G37" s="4">
        <v>336.46</v>
      </c>
      <c r="H37" t="s">
        <v>84</v>
      </c>
      <c r="I37" t="s">
        <v>84</v>
      </c>
    </row>
    <row r="38" spans="1:9" x14ac:dyDescent="0.25">
      <c r="A38" t="s">
        <v>69</v>
      </c>
      <c r="B38" s="4">
        <v>220.6</v>
      </c>
      <c r="C38" s="4">
        <v>192.37</v>
      </c>
      <c r="D38" s="4">
        <v>251.25</v>
      </c>
      <c r="E38" s="4">
        <v>202.53</v>
      </c>
      <c r="F38" s="4">
        <v>330.15</v>
      </c>
      <c r="G38" s="4">
        <v>231.34</v>
      </c>
      <c r="H38" t="s">
        <v>84</v>
      </c>
      <c r="I38" t="s">
        <v>84</v>
      </c>
    </row>
    <row r="39" spans="1:9" x14ac:dyDescent="0.25">
      <c r="A39" t="s">
        <v>70</v>
      </c>
      <c r="B39" s="4">
        <v>261.12</v>
      </c>
      <c r="C39" s="4">
        <v>189.93</v>
      </c>
      <c r="D39" s="4">
        <v>265.23</v>
      </c>
      <c r="E39" s="4">
        <v>120.14</v>
      </c>
      <c r="F39" s="4">
        <v>478.29</v>
      </c>
      <c r="G39" s="4">
        <v>340.73</v>
      </c>
      <c r="H39" t="s">
        <v>84</v>
      </c>
      <c r="I39" t="s">
        <v>84</v>
      </c>
    </row>
    <row r="40" spans="1:9" x14ac:dyDescent="0.25">
      <c r="A40" t="s">
        <v>71</v>
      </c>
      <c r="B40" s="4">
        <v>232.82</v>
      </c>
      <c r="C40" s="4">
        <v>174.53</v>
      </c>
      <c r="D40" s="4">
        <v>194.7</v>
      </c>
      <c r="E40" s="4">
        <v>172.57</v>
      </c>
      <c r="F40" s="4">
        <v>483.86</v>
      </c>
      <c r="G40" s="4">
        <v>282.27</v>
      </c>
      <c r="H40" t="s">
        <v>84</v>
      </c>
      <c r="I40" t="s">
        <v>84</v>
      </c>
    </row>
    <row r="41" spans="1:9" x14ac:dyDescent="0.25">
      <c r="A41" t="s">
        <v>72</v>
      </c>
      <c r="B41" s="4">
        <v>255.28</v>
      </c>
      <c r="C41" s="4">
        <v>207.24</v>
      </c>
      <c r="D41" s="4">
        <v>183.04</v>
      </c>
      <c r="E41" s="4">
        <v>253.26</v>
      </c>
      <c r="F41" s="4">
        <v>478.39</v>
      </c>
      <c r="G41" s="4">
        <v>299.81</v>
      </c>
      <c r="H41" t="s">
        <v>84</v>
      </c>
      <c r="I41" t="s">
        <v>84</v>
      </c>
    </row>
    <row r="42" spans="1:9" x14ac:dyDescent="0.25">
      <c r="A42" t="s">
        <v>73</v>
      </c>
      <c r="B42" s="4">
        <v>302.89</v>
      </c>
      <c r="C42" s="4">
        <v>235.72</v>
      </c>
      <c r="D42" s="4">
        <v>356.47</v>
      </c>
      <c r="E42" s="4">
        <v>236.9</v>
      </c>
      <c r="F42" s="4">
        <v>574.84</v>
      </c>
      <c r="G42" s="4">
        <v>322.42</v>
      </c>
      <c r="H42" t="s">
        <v>84</v>
      </c>
      <c r="I42" t="s">
        <v>84</v>
      </c>
    </row>
    <row r="43" spans="1:9" x14ac:dyDescent="0.25">
      <c r="A43" t="s">
        <v>74</v>
      </c>
      <c r="B43" s="4">
        <v>258.31</v>
      </c>
      <c r="C43" s="4">
        <v>191.99</v>
      </c>
      <c r="D43" s="4">
        <v>284.05</v>
      </c>
      <c r="E43" s="4">
        <v>182.25</v>
      </c>
      <c r="F43" s="4">
        <v>489.88</v>
      </c>
      <c r="G43" s="4">
        <v>299.47000000000003</v>
      </c>
      <c r="H43" t="s">
        <v>84</v>
      </c>
      <c r="I43" t="s">
        <v>84</v>
      </c>
    </row>
    <row r="44" spans="1:9" x14ac:dyDescent="0.25">
      <c r="A44" t="s">
        <v>75</v>
      </c>
      <c r="B44" s="4">
        <v>235.47</v>
      </c>
      <c r="C44" s="4">
        <v>128.49</v>
      </c>
      <c r="D44" s="4">
        <v>179.72</v>
      </c>
      <c r="E44" s="4">
        <v>138.49</v>
      </c>
      <c r="F44" s="4">
        <v>444.4</v>
      </c>
      <c r="G44" s="4">
        <v>332.34</v>
      </c>
      <c r="H44" t="s">
        <v>84</v>
      </c>
      <c r="I44" t="s">
        <v>84</v>
      </c>
    </row>
    <row r="45" spans="1:9" x14ac:dyDescent="0.25">
      <c r="A45" t="s">
        <v>76</v>
      </c>
      <c r="B45" s="4">
        <v>215.56</v>
      </c>
      <c r="C45" s="4">
        <v>119.42</v>
      </c>
      <c r="D45" s="4">
        <v>327.31</v>
      </c>
      <c r="E45" s="4">
        <v>124.66</v>
      </c>
      <c r="F45" s="4">
        <v>480.65</v>
      </c>
      <c r="G45" s="4">
        <v>200.97</v>
      </c>
      <c r="H45" t="s">
        <v>84</v>
      </c>
      <c r="I45" t="s">
        <v>84</v>
      </c>
    </row>
    <row r="46" spans="1:9" x14ac:dyDescent="0.25">
      <c r="A46" t="s">
        <v>77</v>
      </c>
      <c r="B46" s="4">
        <v>280.91000000000003</v>
      </c>
      <c r="C46" s="4">
        <v>238.65</v>
      </c>
      <c r="D46" s="4">
        <v>326.17</v>
      </c>
      <c r="E46" s="4">
        <v>195.9</v>
      </c>
      <c r="F46" s="4">
        <v>486.24</v>
      </c>
      <c r="G46" s="4">
        <v>290.58</v>
      </c>
      <c r="H46" t="s">
        <v>84</v>
      </c>
      <c r="I46" t="s">
        <v>84</v>
      </c>
    </row>
    <row r="47" spans="1:9" x14ac:dyDescent="0.25">
      <c r="A47" t="s">
        <v>78</v>
      </c>
      <c r="B47" s="4">
        <v>304.87</v>
      </c>
      <c r="C47" s="4">
        <v>257.77999999999997</v>
      </c>
      <c r="D47" s="4">
        <v>300.17</v>
      </c>
      <c r="E47" s="4">
        <v>198.41</v>
      </c>
      <c r="F47" s="4">
        <v>429.13</v>
      </c>
      <c r="G47" s="4">
        <v>373.86</v>
      </c>
      <c r="H47" t="s">
        <v>84</v>
      </c>
      <c r="I47" t="s">
        <v>84</v>
      </c>
    </row>
    <row r="48" spans="1:9" x14ac:dyDescent="0.25">
      <c r="A48" t="s">
        <v>79</v>
      </c>
      <c r="B48" s="4">
        <v>299.37</v>
      </c>
      <c r="C48" s="4">
        <v>202.5</v>
      </c>
      <c r="D48" s="4">
        <v>316.91000000000003</v>
      </c>
      <c r="E48" s="4">
        <v>200.35</v>
      </c>
      <c r="F48" s="4">
        <v>535.14</v>
      </c>
      <c r="G48" s="4">
        <v>381.09</v>
      </c>
      <c r="H48" t="s">
        <v>84</v>
      </c>
      <c r="I48" t="s">
        <v>84</v>
      </c>
    </row>
    <row r="49" spans="1:9" x14ac:dyDescent="0.25">
      <c r="A49" t="s">
        <v>80</v>
      </c>
      <c r="B49" s="4">
        <v>251.44</v>
      </c>
      <c r="C49" s="4">
        <v>193.59</v>
      </c>
      <c r="D49" s="4">
        <v>333.44</v>
      </c>
      <c r="E49" s="4">
        <v>184.32</v>
      </c>
      <c r="F49" s="4">
        <v>461.54</v>
      </c>
      <c r="G49" s="4">
        <v>243.91</v>
      </c>
      <c r="H49" t="s">
        <v>84</v>
      </c>
      <c r="I49" t="s">
        <v>84</v>
      </c>
    </row>
    <row r="50" spans="1:9" x14ac:dyDescent="0.25">
      <c r="A50" t="s">
        <v>81</v>
      </c>
      <c r="B50" s="4">
        <v>282.49</v>
      </c>
      <c r="C50" s="4">
        <v>246.68</v>
      </c>
      <c r="D50" s="4">
        <v>265.77999999999997</v>
      </c>
      <c r="E50" s="4">
        <v>253.48</v>
      </c>
      <c r="F50" s="4">
        <v>341.21</v>
      </c>
      <c r="G50" s="4">
        <v>326.01</v>
      </c>
      <c r="H50" t="s">
        <v>84</v>
      </c>
      <c r="I50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>
      <pane xSplit="1" ySplit="2" topLeftCell="B27" activePane="bottomRight" state="frozen"/>
      <selection pane="topRight"/>
      <selection pane="bottomLeft"/>
      <selection pane="bottomRight" activeCell="G39" sqref="G39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86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t="s">
        <v>84</v>
      </c>
      <c r="I3" t="s">
        <v>84</v>
      </c>
    </row>
    <row r="4" spans="1:9" x14ac:dyDescent="0.25">
      <c r="A4" t="s">
        <v>35</v>
      </c>
      <c r="B4" s="4">
        <v>117.6</v>
      </c>
      <c r="C4" s="4">
        <v>114.33</v>
      </c>
      <c r="D4" s="4">
        <v>129.83000000000001</v>
      </c>
      <c r="E4" s="4">
        <v>139.68</v>
      </c>
      <c r="F4" s="4">
        <v>151.88999999999999</v>
      </c>
      <c r="G4" s="4">
        <v>105.51</v>
      </c>
      <c r="H4" t="s">
        <v>84</v>
      </c>
      <c r="I4" t="s">
        <v>84</v>
      </c>
    </row>
    <row r="5" spans="1:9" x14ac:dyDescent="0.25">
      <c r="A5" t="s">
        <v>36</v>
      </c>
      <c r="B5" s="4">
        <v>117.39</v>
      </c>
      <c r="C5" s="4">
        <v>110.76</v>
      </c>
      <c r="D5" s="4">
        <v>122.02</v>
      </c>
      <c r="E5" s="4">
        <v>95.24</v>
      </c>
      <c r="F5" s="4">
        <v>187.91</v>
      </c>
      <c r="G5" s="4">
        <v>103.13</v>
      </c>
      <c r="H5" t="s">
        <v>84</v>
      </c>
      <c r="I5" t="s">
        <v>84</v>
      </c>
    </row>
    <row r="6" spans="1:9" x14ac:dyDescent="0.25">
      <c r="A6" t="s">
        <v>37</v>
      </c>
      <c r="B6" s="4">
        <v>90.2</v>
      </c>
      <c r="C6" s="4">
        <v>72.53</v>
      </c>
      <c r="D6" s="4">
        <v>103.83</v>
      </c>
      <c r="E6" s="4">
        <v>109.32</v>
      </c>
      <c r="F6" s="4">
        <v>157.59</v>
      </c>
      <c r="G6" s="4">
        <v>89.02</v>
      </c>
      <c r="H6" t="s">
        <v>84</v>
      </c>
      <c r="I6" t="s">
        <v>84</v>
      </c>
    </row>
    <row r="7" spans="1:9" x14ac:dyDescent="0.25">
      <c r="A7" t="s">
        <v>38</v>
      </c>
      <c r="B7" s="4">
        <v>104.54</v>
      </c>
      <c r="C7" s="4">
        <v>105.28</v>
      </c>
      <c r="D7" s="4">
        <v>89.62</v>
      </c>
      <c r="E7" s="4">
        <v>133.13</v>
      </c>
      <c r="F7" s="4">
        <v>160.66999999999999</v>
      </c>
      <c r="G7" s="4">
        <v>92.87</v>
      </c>
      <c r="H7" t="s">
        <v>84</v>
      </c>
      <c r="I7" t="s">
        <v>84</v>
      </c>
    </row>
    <row r="8" spans="1:9" x14ac:dyDescent="0.25">
      <c r="A8" t="s">
        <v>39</v>
      </c>
      <c r="B8" s="4">
        <v>88.94</v>
      </c>
      <c r="C8" s="4">
        <v>69.75</v>
      </c>
      <c r="D8" s="4">
        <v>87.56</v>
      </c>
      <c r="E8" s="4">
        <v>108.62</v>
      </c>
      <c r="F8" s="4">
        <v>131.99</v>
      </c>
      <c r="G8" s="4">
        <v>102.44</v>
      </c>
      <c r="H8" t="s">
        <v>84</v>
      </c>
      <c r="I8" t="s">
        <v>84</v>
      </c>
    </row>
    <row r="9" spans="1:9" x14ac:dyDescent="0.25">
      <c r="A9" t="s">
        <v>40</v>
      </c>
      <c r="B9" s="4">
        <v>128.15</v>
      </c>
      <c r="C9" s="4">
        <v>126.85</v>
      </c>
      <c r="D9" s="4">
        <v>112.58</v>
      </c>
      <c r="E9" s="4">
        <v>143.26</v>
      </c>
      <c r="F9" s="4">
        <v>210.62</v>
      </c>
      <c r="G9" s="4">
        <v>112.22</v>
      </c>
      <c r="H9" t="s">
        <v>84</v>
      </c>
      <c r="I9" t="s">
        <v>84</v>
      </c>
    </row>
    <row r="10" spans="1:9" x14ac:dyDescent="0.25">
      <c r="A10" t="s">
        <v>41</v>
      </c>
      <c r="B10" s="4">
        <v>123.54</v>
      </c>
      <c r="C10" s="4">
        <v>101.34</v>
      </c>
      <c r="D10" s="4">
        <v>121.59</v>
      </c>
      <c r="E10" s="4">
        <v>118.5</v>
      </c>
      <c r="F10" s="4">
        <v>206.36</v>
      </c>
      <c r="G10" s="4">
        <v>144.27000000000001</v>
      </c>
      <c r="H10" t="s">
        <v>84</v>
      </c>
      <c r="I10" t="s">
        <v>84</v>
      </c>
    </row>
    <row r="11" spans="1:9" x14ac:dyDescent="0.25">
      <c r="A11" t="s">
        <v>42</v>
      </c>
      <c r="B11" s="4">
        <v>124.64</v>
      </c>
      <c r="C11" s="4">
        <v>121.31</v>
      </c>
      <c r="D11" s="4">
        <v>116.21</v>
      </c>
      <c r="E11" s="4">
        <v>125.39</v>
      </c>
      <c r="F11" s="4">
        <v>211.86</v>
      </c>
      <c r="G11" s="4">
        <v>116.05</v>
      </c>
      <c r="H11" t="s">
        <v>84</v>
      </c>
      <c r="I11" t="s">
        <v>84</v>
      </c>
    </row>
    <row r="12" spans="1:9" x14ac:dyDescent="0.25">
      <c r="A12" t="s">
        <v>43</v>
      </c>
      <c r="B12" s="4">
        <v>124.97</v>
      </c>
      <c r="C12" s="4">
        <v>108.45</v>
      </c>
      <c r="D12" s="4">
        <v>129.29</v>
      </c>
      <c r="E12" s="4">
        <v>107.7</v>
      </c>
      <c r="F12" s="4">
        <v>212.49</v>
      </c>
      <c r="G12" s="4">
        <v>126.75</v>
      </c>
      <c r="H12" t="s">
        <v>84</v>
      </c>
      <c r="I12" t="s">
        <v>84</v>
      </c>
    </row>
    <row r="13" spans="1:9" x14ac:dyDescent="0.25">
      <c r="A13" t="s">
        <v>44</v>
      </c>
      <c r="B13" s="4">
        <v>123.86</v>
      </c>
      <c r="C13" s="4">
        <v>121.6</v>
      </c>
      <c r="D13" s="4">
        <v>109.14</v>
      </c>
      <c r="E13" s="4">
        <v>113.8</v>
      </c>
      <c r="F13" s="4">
        <v>203.88</v>
      </c>
      <c r="G13" s="4">
        <v>113.91</v>
      </c>
      <c r="H13" t="s">
        <v>84</v>
      </c>
      <c r="I13" t="s">
        <v>84</v>
      </c>
    </row>
    <row r="14" spans="1:9" x14ac:dyDescent="0.25">
      <c r="A14" t="s">
        <v>45</v>
      </c>
      <c r="B14" s="4">
        <v>132.59</v>
      </c>
      <c r="C14" s="4">
        <v>125.44</v>
      </c>
      <c r="D14" s="4">
        <v>113.95</v>
      </c>
      <c r="E14" s="4">
        <v>170.84</v>
      </c>
      <c r="F14" s="4">
        <v>172.91</v>
      </c>
      <c r="G14" s="4">
        <v>134.94999999999999</v>
      </c>
      <c r="H14" t="s">
        <v>84</v>
      </c>
      <c r="I14" t="s">
        <v>84</v>
      </c>
    </row>
    <row r="15" spans="1:9" x14ac:dyDescent="0.25">
      <c r="A15" t="s">
        <v>46</v>
      </c>
      <c r="B15" s="4">
        <v>141.63</v>
      </c>
      <c r="C15" s="4">
        <v>124.44</v>
      </c>
      <c r="D15" s="4">
        <v>137.22999999999999</v>
      </c>
      <c r="E15" s="4">
        <v>154.13999999999999</v>
      </c>
      <c r="F15" s="4">
        <v>237.2</v>
      </c>
      <c r="G15" s="4">
        <v>137.30000000000001</v>
      </c>
      <c r="H15" t="s">
        <v>84</v>
      </c>
      <c r="I15" t="s">
        <v>84</v>
      </c>
    </row>
    <row r="16" spans="1:9" x14ac:dyDescent="0.25">
      <c r="A16" t="s">
        <v>47</v>
      </c>
      <c r="B16" s="4">
        <v>151.32</v>
      </c>
      <c r="C16" s="4">
        <v>144.86000000000001</v>
      </c>
      <c r="D16" s="4">
        <v>128.46</v>
      </c>
      <c r="E16" s="4">
        <v>179.89</v>
      </c>
      <c r="F16" s="4">
        <v>226.67</v>
      </c>
      <c r="G16" s="4">
        <v>147.82</v>
      </c>
      <c r="H16" t="s">
        <v>84</v>
      </c>
      <c r="I16" t="s">
        <v>84</v>
      </c>
    </row>
    <row r="17" spans="1:9" x14ac:dyDescent="0.25">
      <c r="A17" t="s">
        <v>48</v>
      </c>
      <c r="B17" s="4">
        <v>144.15</v>
      </c>
      <c r="C17" s="4">
        <v>126.55</v>
      </c>
      <c r="D17" s="4">
        <v>129.86000000000001</v>
      </c>
      <c r="E17" s="4">
        <v>144.19</v>
      </c>
      <c r="F17" s="4">
        <v>228.71</v>
      </c>
      <c r="G17" s="4">
        <v>150.19999999999999</v>
      </c>
      <c r="H17" t="s">
        <v>84</v>
      </c>
      <c r="I17" t="s">
        <v>84</v>
      </c>
    </row>
    <row r="18" spans="1:9" x14ac:dyDescent="0.25">
      <c r="A18" t="s">
        <v>49</v>
      </c>
      <c r="B18" s="4">
        <v>157.24</v>
      </c>
      <c r="C18" s="4">
        <v>147.22</v>
      </c>
      <c r="D18" s="4">
        <v>149.63</v>
      </c>
      <c r="E18" s="4">
        <v>147.62</v>
      </c>
      <c r="F18" s="4">
        <v>226.57</v>
      </c>
      <c r="G18" s="4">
        <v>158.88999999999999</v>
      </c>
      <c r="H18" t="s">
        <v>84</v>
      </c>
      <c r="I18" t="s">
        <v>84</v>
      </c>
    </row>
    <row r="19" spans="1:9" x14ac:dyDescent="0.25">
      <c r="A19" t="s">
        <v>50</v>
      </c>
      <c r="B19" s="4">
        <v>161.51</v>
      </c>
      <c r="C19" s="4">
        <v>160.28</v>
      </c>
      <c r="D19" s="4">
        <v>138.34</v>
      </c>
      <c r="E19" s="4">
        <v>130.6</v>
      </c>
      <c r="F19" s="4">
        <v>232.71</v>
      </c>
      <c r="G19" s="4">
        <v>166.89</v>
      </c>
      <c r="H19" t="s">
        <v>84</v>
      </c>
      <c r="I19" t="s">
        <v>84</v>
      </c>
    </row>
    <row r="20" spans="1:9" x14ac:dyDescent="0.25">
      <c r="A20" t="s">
        <v>51</v>
      </c>
      <c r="B20" s="4">
        <v>130.52000000000001</v>
      </c>
      <c r="C20" s="4">
        <v>99.77</v>
      </c>
      <c r="D20" s="4">
        <v>106.83</v>
      </c>
      <c r="E20" s="4">
        <v>146.5</v>
      </c>
      <c r="F20" s="4">
        <v>189.72</v>
      </c>
      <c r="G20" s="4">
        <v>157.91</v>
      </c>
      <c r="H20" t="s">
        <v>84</v>
      </c>
      <c r="I20" t="s">
        <v>84</v>
      </c>
    </row>
    <row r="21" spans="1:9" x14ac:dyDescent="0.25">
      <c r="A21" t="s">
        <v>52</v>
      </c>
      <c r="B21" s="4">
        <v>154.75</v>
      </c>
      <c r="C21" s="4">
        <v>136.55000000000001</v>
      </c>
      <c r="D21" s="4">
        <v>157.19</v>
      </c>
      <c r="E21" s="4">
        <v>147.96</v>
      </c>
      <c r="F21" s="4">
        <v>216.86</v>
      </c>
      <c r="G21" s="4">
        <v>166.54</v>
      </c>
      <c r="H21" t="s">
        <v>84</v>
      </c>
      <c r="I21" t="s">
        <v>84</v>
      </c>
    </row>
    <row r="22" spans="1:9" x14ac:dyDescent="0.25">
      <c r="A22" t="s">
        <v>53</v>
      </c>
      <c r="B22" s="4">
        <v>148.44</v>
      </c>
      <c r="C22" s="4">
        <v>135.58000000000001</v>
      </c>
      <c r="D22" s="4">
        <v>150.78</v>
      </c>
      <c r="E22" s="4">
        <v>171.79</v>
      </c>
      <c r="F22" s="4">
        <v>193.81</v>
      </c>
      <c r="G22" s="4">
        <v>152.82</v>
      </c>
      <c r="H22" t="s">
        <v>84</v>
      </c>
      <c r="I22" t="s">
        <v>84</v>
      </c>
    </row>
    <row r="23" spans="1:9" x14ac:dyDescent="0.25">
      <c r="A23" t="s">
        <v>54</v>
      </c>
      <c r="B23" s="4">
        <v>151.80000000000001</v>
      </c>
      <c r="C23" s="4">
        <v>133.66</v>
      </c>
      <c r="D23" s="4">
        <v>129.22999999999999</v>
      </c>
      <c r="E23" s="4">
        <v>147.4</v>
      </c>
      <c r="F23" s="4">
        <v>223.77</v>
      </c>
      <c r="G23" s="4">
        <v>163.74</v>
      </c>
      <c r="H23" t="s">
        <v>84</v>
      </c>
      <c r="I23" t="s">
        <v>84</v>
      </c>
    </row>
    <row r="24" spans="1:9" x14ac:dyDescent="0.25">
      <c r="A24" t="s">
        <v>55</v>
      </c>
      <c r="B24" s="4">
        <v>161.1</v>
      </c>
      <c r="C24" s="4">
        <v>139.91999999999999</v>
      </c>
      <c r="D24" s="4">
        <v>138.68</v>
      </c>
      <c r="E24" s="4">
        <v>165.98</v>
      </c>
      <c r="F24" s="4">
        <v>220.26</v>
      </c>
      <c r="G24" s="4">
        <v>182.01</v>
      </c>
      <c r="H24" t="s">
        <v>84</v>
      </c>
      <c r="I24" t="s">
        <v>84</v>
      </c>
    </row>
    <row r="25" spans="1:9" x14ac:dyDescent="0.25">
      <c r="A25" t="s">
        <v>56</v>
      </c>
      <c r="B25" s="4">
        <v>174.09</v>
      </c>
      <c r="C25" s="4">
        <v>153.65</v>
      </c>
      <c r="D25" s="4">
        <v>176.35</v>
      </c>
      <c r="E25" s="4">
        <v>174.78</v>
      </c>
      <c r="F25" s="4">
        <v>240.51</v>
      </c>
      <c r="G25" s="4">
        <v>182.73</v>
      </c>
      <c r="H25" t="s">
        <v>84</v>
      </c>
      <c r="I25" t="s">
        <v>84</v>
      </c>
    </row>
    <row r="26" spans="1:9" x14ac:dyDescent="0.25">
      <c r="A26" t="s">
        <v>57</v>
      </c>
      <c r="B26" s="4">
        <v>160.72</v>
      </c>
      <c r="C26" s="4">
        <v>154.13</v>
      </c>
      <c r="D26" s="4">
        <v>194.55</v>
      </c>
      <c r="E26" s="4">
        <v>141.21</v>
      </c>
      <c r="F26" s="4">
        <v>251.08</v>
      </c>
      <c r="G26" s="4">
        <v>124.91</v>
      </c>
      <c r="H26" t="s">
        <v>84</v>
      </c>
      <c r="I26" t="s">
        <v>84</v>
      </c>
    </row>
    <row r="27" spans="1:9" x14ac:dyDescent="0.25">
      <c r="A27" t="s">
        <v>58</v>
      </c>
      <c r="B27" s="4">
        <v>167.62</v>
      </c>
      <c r="C27" s="4">
        <v>147.24</v>
      </c>
      <c r="D27" s="4">
        <v>185.79</v>
      </c>
      <c r="E27" s="4">
        <v>139.55000000000001</v>
      </c>
      <c r="F27" s="4">
        <v>280.02999999999997</v>
      </c>
      <c r="G27" s="4">
        <v>170.51</v>
      </c>
      <c r="H27" t="s">
        <v>84</v>
      </c>
      <c r="I27" t="s">
        <v>84</v>
      </c>
    </row>
    <row r="28" spans="1:9" x14ac:dyDescent="0.25">
      <c r="A28" t="s">
        <v>59</v>
      </c>
      <c r="B28" s="4">
        <v>113.36</v>
      </c>
      <c r="C28" s="4">
        <v>83.4</v>
      </c>
      <c r="D28" s="4">
        <v>117.84</v>
      </c>
      <c r="E28" s="4">
        <v>148.88</v>
      </c>
      <c r="F28" s="4">
        <v>163.12</v>
      </c>
      <c r="G28" s="4">
        <v>129.59</v>
      </c>
      <c r="H28" t="s">
        <v>84</v>
      </c>
      <c r="I28" t="s">
        <v>84</v>
      </c>
    </row>
    <row r="29" spans="1:9" x14ac:dyDescent="0.25">
      <c r="A29" t="s">
        <v>60</v>
      </c>
      <c r="B29" s="4">
        <v>156.41</v>
      </c>
      <c r="C29" s="4">
        <v>118.33</v>
      </c>
      <c r="D29" s="4">
        <v>162.6</v>
      </c>
      <c r="E29" s="4">
        <v>171.63</v>
      </c>
      <c r="F29" s="4">
        <v>249.45</v>
      </c>
      <c r="G29" s="4">
        <v>185.64</v>
      </c>
      <c r="H29" t="s">
        <v>84</v>
      </c>
      <c r="I29" t="s">
        <v>84</v>
      </c>
    </row>
    <row r="30" spans="1:9" x14ac:dyDescent="0.25">
      <c r="A30" t="s">
        <v>61</v>
      </c>
      <c r="B30" s="4">
        <v>147.65</v>
      </c>
      <c r="C30" s="4">
        <v>109.85</v>
      </c>
      <c r="D30" s="4">
        <v>164.48</v>
      </c>
      <c r="E30" s="4">
        <v>163.81</v>
      </c>
      <c r="F30" s="4">
        <v>213.51</v>
      </c>
      <c r="G30" s="4">
        <v>172.3</v>
      </c>
      <c r="H30" t="s">
        <v>84</v>
      </c>
      <c r="I30" t="s">
        <v>84</v>
      </c>
    </row>
    <row r="31" spans="1:9" x14ac:dyDescent="0.25">
      <c r="A31" t="s">
        <v>62</v>
      </c>
      <c r="B31" s="4">
        <v>162.57</v>
      </c>
      <c r="C31" s="4">
        <v>133.46</v>
      </c>
      <c r="D31" s="4">
        <v>177.29</v>
      </c>
      <c r="E31" s="4">
        <v>155.19</v>
      </c>
      <c r="F31" s="4">
        <v>270.61</v>
      </c>
      <c r="G31" s="4">
        <v>183.47</v>
      </c>
      <c r="H31" t="s">
        <v>84</v>
      </c>
      <c r="I31" t="s">
        <v>84</v>
      </c>
    </row>
    <row r="32" spans="1:9" x14ac:dyDescent="0.25">
      <c r="A32" t="s">
        <v>63</v>
      </c>
      <c r="B32" s="4">
        <v>114.13</v>
      </c>
      <c r="C32" s="4">
        <v>94.68</v>
      </c>
      <c r="D32" s="4">
        <v>100.12</v>
      </c>
      <c r="E32" s="4">
        <v>126.72</v>
      </c>
      <c r="F32" s="4">
        <v>167.8</v>
      </c>
      <c r="G32" s="4">
        <v>132.02000000000001</v>
      </c>
      <c r="H32" t="s">
        <v>84</v>
      </c>
      <c r="I32" t="s">
        <v>84</v>
      </c>
    </row>
    <row r="33" spans="1:9" x14ac:dyDescent="0.25">
      <c r="A33" t="s">
        <v>64</v>
      </c>
      <c r="B33" s="4">
        <v>132.38</v>
      </c>
      <c r="C33" s="4">
        <v>83.7</v>
      </c>
      <c r="D33" s="4">
        <v>150.53</v>
      </c>
      <c r="E33" s="4">
        <v>138.15</v>
      </c>
      <c r="F33" s="4">
        <v>201.09</v>
      </c>
      <c r="G33" s="4">
        <v>172.5</v>
      </c>
      <c r="H33" t="s">
        <v>84</v>
      </c>
      <c r="I33" t="s">
        <v>84</v>
      </c>
    </row>
    <row r="34" spans="1:9" x14ac:dyDescent="0.25">
      <c r="A34" t="s">
        <v>65</v>
      </c>
      <c r="B34" s="4">
        <v>155.69999999999999</v>
      </c>
      <c r="C34" s="4">
        <v>117.52</v>
      </c>
      <c r="D34" s="4">
        <v>140.38</v>
      </c>
      <c r="E34" s="4">
        <v>174.33</v>
      </c>
      <c r="F34" s="4">
        <v>221.79</v>
      </c>
      <c r="G34" s="4">
        <v>196.47</v>
      </c>
      <c r="H34" t="s">
        <v>84</v>
      </c>
      <c r="I34" t="s">
        <v>84</v>
      </c>
    </row>
    <row r="35" spans="1:9" x14ac:dyDescent="0.25">
      <c r="A35" t="s">
        <v>66</v>
      </c>
      <c r="B35" s="4">
        <v>146.33000000000001</v>
      </c>
      <c r="C35" s="4">
        <v>106.28</v>
      </c>
      <c r="D35" s="4">
        <v>182.1</v>
      </c>
      <c r="E35" s="4">
        <v>155.22999999999999</v>
      </c>
      <c r="F35" s="4">
        <v>265.10000000000002</v>
      </c>
      <c r="G35" s="4">
        <v>157.65</v>
      </c>
      <c r="H35" t="s">
        <v>84</v>
      </c>
      <c r="I35" t="s">
        <v>84</v>
      </c>
    </row>
    <row r="36" spans="1:9" x14ac:dyDescent="0.25">
      <c r="A36" t="s">
        <v>67</v>
      </c>
      <c r="B36" s="4">
        <v>162.41999999999999</v>
      </c>
      <c r="C36" s="4">
        <v>163.46</v>
      </c>
      <c r="D36" s="4">
        <v>175.37</v>
      </c>
      <c r="E36" s="4">
        <v>162.18</v>
      </c>
      <c r="F36" s="4">
        <v>325.08999999999997</v>
      </c>
      <c r="G36" s="4">
        <v>101.65</v>
      </c>
      <c r="H36" t="s">
        <v>84</v>
      </c>
      <c r="I36" t="s">
        <v>84</v>
      </c>
    </row>
    <row r="37" spans="1:9" x14ac:dyDescent="0.25">
      <c r="A37" t="s">
        <v>68</v>
      </c>
      <c r="B37" s="4">
        <v>162.29</v>
      </c>
      <c r="C37" s="4">
        <v>138.53</v>
      </c>
      <c r="D37" s="4">
        <v>177.06</v>
      </c>
      <c r="E37" s="4">
        <v>188.28</v>
      </c>
      <c r="F37" s="4">
        <v>278.56</v>
      </c>
      <c r="G37" s="4">
        <v>153.99</v>
      </c>
      <c r="H37" t="s">
        <v>84</v>
      </c>
      <c r="I37" t="s">
        <v>84</v>
      </c>
    </row>
    <row r="38" spans="1:9" x14ac:dyDescent="0.25">
      <c r="A38" t="s">
        <v>69</v>
      </c>
      <c r="B38" s="4">
        <v>169.12</v>
      </c>
      <c r="C38" s="4">
        <v>156.33000000000001</v>
      </c>
      <c r="D38" s="4">
        <v>197.96</v>
      </c>
      <c r="E38" s="4">
        <v>190.98</v>
      </c>
      <c r="F38" s="4">
        <v>253.26</v>
      </c>
      <c r="G38" s="4">
        <v>148.11000000000001</v>
      </c>
      <c r="H38" t="s">
        <v>84</v>
      </c>
      <c r="I38" t="s">
        <v>84</v>
      </c>
    </row>
    <row r="39" spans="1:9" x14ac:dyDescent="0.25">
      <c r="A39" t="s">
        <v>70</v>
      </c>
      <c r="B39" s="4">
        <v>181.3</v>
      </c>
      <c r="C39" s="4">
        <v>163.92</v>
      </c>
      <c r="D39" s="4">
        <v>178.97</v>
      </c>
      <c r="E39" s="4">
        <v>147.24</v>
      </c>
      <c r="F39" s="4">
        <v>302.31</v>
      </c>
      <c r="G39" s="4">
        <v>192.65</v>
      </c>
      <c r="H39" t="s">
        <v>84</v>
      </c>
      <c r="I39" t="s">
        <v>84</v>
      </c>
    </row>
    <row r="40" spans="1:9" x14ac:dyDescent="0.25">
      <c r="A40" t="s">
        <v>71</v>
      </c>
      <c r="B40" s="4">
        <v>165.29</v>
      </c>
      <c r="C40" s="4">
        <v>149.49</v>
      </c>
      <c r="D40" s="4">
        <v>154.71</v>
      </c>
      <c r="E40" s="4">
        <v>165.65</v>
      </c>
      <c r="F40" s="4">
        <v>301.11</v>
      </c>
      <c r="G40" s="4">
        <v>157.08000000000001</v>
      </c>
      <c r="H40" t="s">
        <v>84</v>
      </c>
      <c r="I40" t="s">
        <v>84</v>
      </c>
    </row>
    <row r="41" spans="1:9" x14ac:dyDescent="0.25">
      <c r="A41" t="s">
        <v>72</v>
      </c>
      <c r="B41" s="4">
        <v>155.71</v>
      </c>
      <c r="C41" s="4">
        <v>143.57</v>
      </c>
      <c r="D41" s="4">
        <v>150.86000000000001</v>
      </c>
      <c r="E41" s="4">
        <v>186.58</v>
      </c>
      <c r="F41" s="4">
        <v>252.78</v>
      </c>
      <c r="G41" s="4">
        <v>151.18</v>
      </c>
      <c r="H41" t="s">
        <v>84</v>
      </c>
      <c r="I41" t="s">
        <v>84</v>
      </c>
    </row>
    <row r="42" spans="1:9" x14ac:dyDescent="0.25">
      <c r="A42" t="s">
        <v>73</v>
      </c>
      <c r="B42" s="4">
        <v>193.2</v>
      </c>
      <c r="C42" s="4">
        <v>172.82</v>
      </c>
      <c r="D42" s="4">
        <v>210.41</v>
      </c>
      <c r="E42" s="4">
        <v>203.26</v>
      </c>
      <c r="F42" s="4">
        <v>326</v>
      </c>
      <c r="G42" s="4">
        <v>179.32</v>
      </c>
      <c r="H42" t="s">
        <v>84</v>
      </c>
      <c r="I42" t="s">
        <v>84</v>
      </c>
    </row>
    <row r="43" spans="1:9" x14ac:dyDescent="0.25">
      <c r="A43" t="s">
        <v>74</v>
      </c>
      <c r="B43" s="4">
        <v>162.63999999999999</v>
      </c>
      <c r="C43" s="4">
        <v>132.76</v>
      </c>
      <c r="D43" s="4">
        <v>173.16</v>
      </c>
      <c r="E43" s="4">
        <v>164.32</v>
      </c>
      <c r="F43" s="4">
        <v>256.39999999999998</v>
      </c>
      <c r="G43" s="4">
        <v>185.24</v>
      </c>
      <c r="H43" t="s">
        <v>84</v>
      </c>
      <c r="I43" t="s">
        <v>84</v>
      </c>
    </row>
    <row r="44" spans="1:9" x14ac:dyDescent="0.25">
      <c r="A44" t="s">
        <v>75</v>
      </c>
      <c r="B44" s="4">
        <v>131.80000000000001</v>
      </c>
      <c r="C44" s="4">
        <v>90.3</v>
      </c>
      <c r="D44" s="4">
        <v>149.28</v>
      </c>
      <c r="E44" s="4">
        <v>136.72</v>
      </c>
      <c r="F44" s="4">
        <v>217.56</v>
      </c>
      <c r="G44" s="4">
        <v>162.88999999999999</v>
      </c>
      <c r="H44" t="s">
        <v>84</v>
      </c>
      <c r="I44" t="s">
        <v>84</v>
      </c>
    </row>
    <row r="45" spans="1:9" x14ac:dyDescent="0.25">
      <c r="A45" t="s">
        <v>76</v>
      </c>
      <c r="B45" s="4">
        <v>133.16</v>
      </c>
      <c r="C45" s="4">
        <v>83.99</v>
      </c>
      <c r="D45" s="4">
        <v>163.69</v>
      </c>
      <c r="E45" s="4">
        <v>135.78</v>
      </c>
      <c r="F45" s="4">
        <v>249.45</v>
      </c>
      <c r="G45" s="4">
        <v>144.83000000000001</v>
      </c>
      <c r="H45" t="s">
        <v>84</v>
      </c>
      <c r="I45" t="s">
        <v>84</v>
      </c>
    </row>
    <row r="46" spans="1:9" x14ac:dyDescent="0.25">
      <c r="A46" t="s">
        <v>77</v>
      </c>
      <c r="B46" s="4">
        <v>158.88999999999999</v>
      </c>
      <c r="C46" s="4">
        <v>181.87</v>
      </c>
      <c r="D46" s="4">
        <v>185.77</v>
      </c>
      <c r="E46" s="4">
        <v>155.06</v>
      </c>
      <c r="F46" s="4">
        <v>206.21</v>
      </c>
      <c r="G46" s="4">
        <v>152</v>
      </c>
      <c r="H46" t="s">
        <v>84</v>
      </c>
      <c r="I46" t="s">
        <v>84</v>
      </c>
    </row>
    <row r="47" spans="1:9" x14ac:dyDescent="0.25">
      <c r="A47" t="s">
        <v>78</v>
      </c>
      <c r="B47" s="4">
        <v>192.67</v>
      </c>
      <c r="C47" s="4">
        <v>191.16</v>
      </c>
      <c r="D47" s="4">
        <v>207.86</v>
      </c>
      <c r="E47" s="4">
        <v>185.36</v>
      </c>
      <c r="F47" s="4">
        <v>230.71</v>
      </c>
      <c r="G47" s="4">
        <v>195.07</v>
      </c>
      <c r="H47" t="s">
        <v>84</v>
      </c>
      <c r="I47" t="s">
        <v>84</v>
      </c>
    </row>
    <row r="48" spans="1:9" x14ac:dyDescent="0.25">
      <c r="A48" t="s">
        <v>79</v>
      </c>
      <c r="B48" s="4">
        <v>159.47999999999999</v>
      </c>
      <c r="C48" s="4">
        <v>141.94999999999999</v>
      </c>
      <c r="D48" s="4">
        <v>182.02</v>
      </c>
      <c r="E48" s="4">
        <v>206.4</v>
      </c>
      <c r="F48" s="4">
        <v>221.48</v>
      </c>
      <c r="G48" s="4">
        <v>173.36</v>
      </c>
      <c r="H48" t="s">
        <v>84</v>
      </c>
      <c r="I48" t="s">
        <v>84</v>
      </c>
    </row>
    <row r="49" spans="1:9" x14ac:dyDescent="0.25">
      <c r="A49" t="s">
        <v>80</v>
      </c>
      <c r="B49" s="4">
        <v>151.16999999999999</v>
      </c>
      <c r="C49" s="4">
        <v>148.94</v>
      </c>
      <c r="D49" s="4">
        <v>192.06</v>
      </c>
      <c r="E49" s="4">
        <v>150.61000000000001</v>
      </c>
      <c r="F49" s="4">
        <v>147.99</v>
      </c>
      <c r="G49" s="4">
        <v>153.47999999999999</v>
      </c>
      <c r="H49" t="s">
        <v>84</v>
      </c>
      <c r="I49" t="s">
        <v>84</v>
      </c>
    </row>
    <row r="50" spans="1:9" x14ac:dyDescent="0.25">
      <c r="A50" t="s">
        <v>81</v>
      </c>
      <c r="B50" s="4">
        <v>149.85</v>
      </c>
      <c r="C50" s="4">
        <v>152.22</v>
      </c>
      <c r="D50" s="4">
        <v>171.08</v>
      </c>
      <c r="E50" s="4">
        <v>193.69</v>
      </c>
      <c r="F50" s="4">
        <v>118.92</v>
      </c>
      <c r="G50" s="4">
        <v>173.89</v>
      </c>
      <c r="H50" t="s">
        <v>84</v>
      </c>
      <c r="I50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"/>
  <sheetViews>
    <sheetView workbookViewId="0">
      <pane xSplit="1" ySplit="2" topLeftCell="B24" activePane="bottomRight" state="frozen"/>
      <selection pane="topRight"/>
      <selection pane="bottomLeft"/>
      <selection pane="bottomRight" activeCell="B3" sqref="B3:H50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88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t="s">
        <v>84</v>
      </c>
    </row>
    <row r="4" spans="1:9" x14ac:dyDescent="0.25">
      <c r="A4" t="s">
        <v>35</v>
      </c>
      <c r="B4" s="4">
        <v>95.63</v>
      </c>
      <c r="C4" s="4">
        <v>101.95</v>
      </c>
      <c r="D4" s="4">
        <v>86.91</v>
      </c>
      <c r="E4" s="4">
        <v>107.81</v>
      </c>
      <c r="F4" s="4">
        <v>91.18</v>
      </c>
      <c r="G4" s="4">
        <v>91.79</v>
      </c>
      <c r="H4" s="4">
        <v>110.93</v>
      </c>
      <c r="I4" t="s">
        <v>84</v>
      </c>
    </row>
    <row r="5" spans="1:9" x14ac:dyDescent="0.25">
      <c r="A5" t="s">
        <v>36</v>
      </c>
      <c r="B5" s="4">
        <v>94.2</v>
      </c>
      <c r="C5" s="4">
        <v>92.83</v>
      </c>
      <c r="D5" s="4">
        <v>98.77</v>
      </c>
      <c r="E5" s="4">
        <v>79.66</v>
      </c>
      <c r="F5" s="4">
        <v>95.68</v>
      </c>
      <c r="G5" s="4">
        <v>69.099999999999994</v>
      </c>
      <c r="H5" s="4">
        <v>105.64</v>
      </c>
      <c r="I5" t="s">
        <v>84</v>
      </c>
    </row>
    <row r="6" spans="1:9" x14ac:dyDescent="0.25">
      <c r="A6" t="s">
        <v>37</v>
      </c>
      <c r="B6" s="4">
        <v>81.239999999999995</v>
      </c>
      <c r="C6" s="4">
        <v>84.66</v>
      </c>
      <c r="D6" s="4">
        <v>90.78</v>
      </c>
      <c r="E6" s="4">
        <v>62.52</v>
      </c>
      <c r="F6" s="4">
        <v>83.96</v>
      </c>
      <c r="G6" s="4">
        <v>67.87</v>
      </c>
      <c r="H6" s="4">
        <v>89.57</v>
      </c>
      <c r="I6" t="s">
        <v>84</v>
      </c>
    </row>
    <row r="7" spans="1:9" x14ac:dyDescent="0.25">
      <c r="A7" t="s">
        <v>38</v>
      </c>
      <c r="B7" s="4">
        <v>90.86</v>
      </c>
      <c r="C7" s="4">
        <v>103.32</v>
      </c>
      <c r="D7" s="4">
        <v>86.51</v>
      </c>
      <c r="E7" s="4">
        <v>98.28</v>
      </c>
      <c r="F7" s="4">
        <v>89.48</v>
      </c>
      <c r="G7" s="4">
        <v>77.53</v>
      </c>
      <c r="H7" s="4">
        <v>86.95</v>
      </c>
      <c r="I7" t="s">
        <v>84</v>
      </c>
    </row>
    <row r="8" spans="1:9" x14ac:dyDescent="0.25">
      <c r="A8" t="s">
        <v>39</v>
      </c>
      <c r="B8" s="4">
        <v>87.01</v>
      </c>
      <c r="C8" s="4">
        <v>75.89</v>
      </c>
      <c r="D8" s="4">
        <v>103.22</v>
      </c>
      <c r="E8" s="4">
        <v>91.15</v>
      </c>
      <c r="F8" s="4">
        <v>89.8</v>
      </c>
      <c r="G8" s="4">
        <v>90.04</v>
      </c>
      <c r="H8" s="4">
        <v>102.4</v>
      </c>
      <c r="I8" t="s">
        <v>84</v>
      </c>
    </row>
    <row r="9" spans="1:9" x14ac:dyDescent="0.25">
      <c r="A9" t="s">
        <v>40</v>
      </c>
      <c r="B9" s="4">
        <v>83.54</v>
      </c>
      <c r="C9" s="4">
        <v>81.06</v>
      </c>
      <c r="D9" s="4">
        <v>104.74</v>
      </c>
      <c r="E9" s="4">
        <v>104.16</v>
      </c>
      <c r="F9" s="4">
        <v>91.37</v>
      </c>
      <c r="G9" s="4">
        <v>54.46</v>
      </c>
      <c r="H9" s="4">
        <v>95.81</v>
      </c>
      <c r="I9" t="s">
        <v>84</v>
      </c>
    </row>
    <row r="10" spans="1:9" x14ac:dyDescent="0.25">
      <c r="A10" t="s">
        <v>41</v>
      </c>
      <c r="B10" s="4">
        <v>100.38</v>
      </c>
      <c r="C10" s="4">
        <v>88.2</v>
      </c>
      <c r="D10" s="4">
        <v>107.45</v>
      </c>
      <c r="E10" s="4">
        <v>131.52000000000001</v>
      </c>
      <c r="F10" s="4">
        <v>99.41</v>
      </c>
      <c r="G10" s="4">
        <v>92.98</v>
      </c>
      <c r="H10" s="4">
        <v>108.64</v>
      </c>
      <c r="I10" t="s">
        <v>84</v>
      </c>
    </row>
    <row r="11" spans="1:9" x14ac:dyDescent="0.25">
      <c r="A11" t="s">
        <v>42</v>
      </c>
      <c r="B11" s="4">
        <v>93.87</v>
      </c>
      <c r="C11" s="4">
        <v>84.61</v>
      </c>
      <c r="D11" s="4">
        <v>110.94</v>
      </c>
      <c r="E11" s="4">
        <v>106.77</v>
      </c>
      <c r="F11" s="4">
        <v>97.24</v>
      </c>
      <c r="G11" s="4">
        <v>76.5</v>
      </c>
      <c r="H11" s="4">
        <v>124.09</v>
      </c>
      <c r="I11" t="s">
        <v>84</v>
      </c>
    </row>
    <row r="12" spans="1:9" x14ac:dyDescent="0.25">
      <c r="A12" t="s">
        <v>43</v>
      </c>
      <c r="B12" s="4">
        <v>91.74</v>
      </c>
      <c r="C12" s="4">
        <v>85</v>
      </c>
      <c r="D12" s="4">
        <v>100.72</v>
      </c>
      <c r="E12" s="4">
        <v>104.2</v>
      </c>
      <c r="F12" s="4">
        <v>110.92</v>
      </c>
      <c r="G12" s="4">
        <v>69.58</v>
      </c>
      <c r="H12" s="4">
        <v>123.76</v>
      </c>
      <c r="I12" t="s">
        <v>84</v>
      </c>
    </row>
    <row r="13" spans="1:9" x14ac:dyDescent="0.25">
      <c r="A13" t="s">
        <v>44</v>
      </c>
      <c r="B13" s="4">
        <v>94.3</v>
      </c>
      <c r="C13" s="4">
        <v>97.51</v>
      </c>
      <c r="D13" s="4">
        <v>103.56</v>
      </c>
      <c r="E13" s="4">
        <v>108.22</v>
      </c>
      <c r="F13" s="4">
        <v>99.1</v>
      </c>
      <c r="G13" s="4">
        <v>75.7</v>
      </c>
      <c r="H13" s="4">
        <v>121.25</v>
      </c>
      <c r="I13" t="s">
        <v>84</v>
      </c>
    </row>
    <row r="14" spans="1:9" x14ac:dyDescent="0.25">
      <c r="A14" t="s">
        <v>45</v>
      </c>
      <c r="B14" s="4">
        <v>94.43</v>
      </c>
      <c r="C14" s="4">
        <v>93.25</v>
      </c>
      <c r="D14" s="4">
        <v>98.97</v>
      </c>
      <c r="E14" s="4">
        <v>99.83</v>
      </c>
      <c r="F14" s="4">
        <v>105.35</v>
      </c>
      <c r="G14" s="4">
        <v>87.71</v>
      </c>
      <c r="H14" s="4">
        <v>129.47999999999999</v>
      </c>
      <c r="I14" t="s">
        <v>84</v>
      </c>
    </row>
    <row r="15" spans="1:9" x14ac:dyDescent="0.25">
      <c r="A15" t="s">
        <v>46</v>
      </c>
      <c r="B15" s="4">
        <v>108.05</v>
      </c>
      <c r="C15" s="4">
        <v>104.29</v>
      </c>
      <c r="D15" s="4">
        <v>106</v>
      </c>
      <c r="E15" s="4">
        <v>124.33</v>
      </c>
      <c r="F15" s="4">
        <v>118.8</v>
      </c>
      <c r="G15" s="4">
        <v>91.1</v>
      </c>
      <c r="H15" s="4">
        <v>121.79</v>
      </c>
      <c r="I15" t="s">
        <v>84</v>
      </c>
    </row>
    <row r="16" spans="1:9" x14ac:dyDescent="0.25">
      <c r="A16" t="s">
        <v>47</v>
      </c>
      <c r="B16" s="4">
        <v>107.23</v>
      </c>
      <c r="C16" s="4">
        <v>102.21</v>
      </c>
      <c r="D16" s="4">
        <v>96.4</v>
      </c>
      <c r="E16" s="4">
        <v>140.41999999999999</v>
      </c>
      <c r="F16" s="4">
        <v>115.54</v>
      </c>
      <c r="G16" s="4">
        <v>103.13</v>
      </c>
      <c r="H16" s="4">
        <v>120.81</v>
      </c>
      <c r="I16" t="s">
        <v>84</v>
      </c>
    </row>
    <row r="17" spans="1:9" x14ac:dyDescent="0.25">
      <c r="A17" t="s">
        <v>48</v>
      </c>
      <c r="B17" s="4">
        <v>100.06</v>
      </c>
      <c r="C17" s="4">
        <v>89.73</v>
      </c>
      <c r="D17" s="4">
        <v>95.32</v>
      </c>
      <c r="E17" s="4">
        <v>111.44</v>
      </c>
      <c r="F17" s="4">
        <v>105.01</v>
      </c>
      <c r="G17" s="4">
        <v>106.69</v>
      </c>
      <c r="H17" s="4">
        <v>110.7</v>
      </c>
      <c r="I17" t="s">
        <v>84</v>
      </c>
    </row>
    <row r="18" spans="1:9" x14ac:dyDescent="0.25">
      <c r="A18" t="s">
        <v>49</v>
      </c>
      <c r="B18" s="4">
        <v>99.43</v>
      </c>
      <c r="C18" s="4">
        <v>89.48</v>
      </c>
      <c r="D18" s="4">
        <v>98.44</v>
      </c>
      <c r="E18" s="4">
        <v>106.73</v>
      </c>
      <c r="F18" s="4">
        <v>118.23</v>
      </c>
      <c r="G18" s="4">
        <v>102.11</v>
      </c>
      <c r="H18" s="4">
        <v>139.13999999999999</v>
      </c>
      <c r="I18" t="s">
        <v>84</v>
      </c>
    </row>
    <row r="19" spans="1:9" x14ac:dyDescent="0.25">
      <c r="A19" t="s">
        <v>50</v>
      </c>
      <c r="B19" s="4">
        <v>92.1</v>
      </c>
      <c r="C19" s="4">
        <v>88.21</v>
      </c>
      <c r="D19" s="4">
        <v>97.68</v>
      </c>
      <c r="E19" s="4">
        <v>99.35</v>
      </c>
      <c r="F19" s="4">
        <v>105.24</v>
      </c>
      <c r="G19" s="4">
        <v>106.22</v>
      </c>
      <c r="H19" s="4">
        <v>127.69</v>
      </c>
      <c r="I19" t="s">
        <v>84</v>
      </c>
    </row>
    <row r="20" spans="1:9" x14ac:dyDescent="0.25">
      <c r="A20" t="s">
        <v>51</v>
      </c>
      <c r="B20" s="4">
        <v>85.14</v>
      </c>
      <c r="C20" s="4">
        <v>73.09</v>
      </c>
      <c r="D20" s="4">
        <v>91.42</v>
      </c>
      <c r="E20" s="4">
        <v>146.55000000000001</v>
      </c>
      <c r="F20" s="4">
        <v>108.08</v>
      </c>
      <c r="G20" s="4">
        <v>82.59</v>
      </c>
      <c r="H20" s="4">
        <v>102.26</v>
      </c>
      <c r="I20" t="s">
        <v>84</v>
      </c>
    </row>
    <row r="21" spans="1:9" x14ac:dyDescent="0.25">
      <c r="A21" t="s">
        <v>52</v>
      </c>
      <c r="B21" s="4">
        <v>95.89</v>
      </c>
      <c r="C21" s="4">
        <v>76.64</v>
      </c>
      <c r="D21" s="4">
        <v>106.23</v>
      </c>
      <c r="E21" s="4">
        <v>121.02</v>
      </c>
      <c r="F21" s="4">
        <v>108.78</v>
      </c>
      <c r="G21" s="4">
        <v>108.86</v>
      </c>
      <c r="H21" s="4">
        <v>121.01</v>
      </c>
      <c r="I21" t="s">
        <v>84</v>
      </c>
    </row>
    <row r="22" spans="1:9" x14ac:dyDescent="0.25">
      <c r="A22" t="s">
        <v>53</v>
      </c>
      <c r="B22" s="4">
        <v>102.29</v>
      </c>
      <c r="C22" s="4">
        <v>82.08</v>
      </c>
      <c r="D22" s="4">
        <v>108.51</v>
      </c>
      <c r="E22" s="4">
        <v>126.54</v>
      </c>
      <c r="F22" s="4">
        <v>91.47</v>
      </c>
      <c r="G22" s="4">
        <v>132.22</v>
      </c>
      <c r="H22" s="4">
        <v>141.37</v>
      </c>
      <c r="I22" t="s">
        <v>84</v>
      </c>
    </row>
    <row r="23" spans="1:9" x14ac:dyDescent="0.25">
      <c r="A23" t="s">
        <v>54</v>
      </c>
      <c r="B23" s="4">
        <v>103.4</v>
      </c>
      <c r="C23" s="4">
        <v>83.39</v>
      </c>
      <c r="D23" s="4">
        <v>109.77</v>
      </c>
      <c r="E23" s="4">
        <v>128.71</v>
      </c>
      <c r="F23" s="4">
        <v>122.07</v>
      </c>
      <c r="G23" s="4">
        <v>110.29</v>
      </c>
      <c r="H23" s="4">
        <v>111.44</v>
      </c>
      <c r="I23" t="s">
        <v>84</v>
      </c>
    </row>
    <row r="24" spans="1:9" x14ac:dyDescent="0.25">
      <c r="A24" t="s">
        <v>55</v>
      </c>
      <c r="B24" s="4">
        <v>106.52</v>
      </c>
      <c r="C24" s="4">
        <v>83.43</v>
      </c>
      <c r="D24" s="4">
        <v>126.22</v>
      </c>
      <c r="E24" s="4">
        <v>132.87</v>
      </c>
      <c r="F24" s="4">
        <v>111.98</v>
      </c>
      <c r="G24" s="4">
        <v>112.47</v>
      </c>
      <c r="H24" s="4">
        <v>126.42</v>
      </c>
      <c r="I24" t="s">
        <v>84</v>
      </c>
    </row>
    <row r="25" spans="1:9" x14ac:dyDescent="0.25">
      <c r="A25" t="s">
        <v>56</v>
      </c>
      <c r="B25" s="4">
        <v>116.33</v>
      </c>
      <c r="C25" s="4">
        <v>92.06</v>
      </c>
      <c r="D25" s="4">
        <v>121.87</v>
      </c>
      <c r="E25" s="4">
        <v>150.03</v>
      </c>
      <c r="F25" s="4">
        <v>132</v>
      </c>
      <c r="G25" s="4">
        <v>127.76</v>
      </c>
      <c r="H25" s="4">
        <v>132.38999999999999</v>
      </c>
      <c r="I25" t="s">
        <v>84</v>
      </c>
    </row>
    <row r="26" spans="1:9" x14ac:dyDescent="0.25">
      <c r="A26" t="s">
        <v>57</v>
      </c>
      <c r="B26" s="4">
        <v>123.04</v>
      </c>
      <c r="C26" s="4">
        <v>98.13</v>
      </c>
      <c r="D26" s="4">
        <v>148.02000000000001</v>
      </c>
      <c r="E26" s="4">
        <v>151.51</v>
      </c>
      <c r="F26" s="4">
        <v>111.1</v>
      </c>
      <c r="G26" s="4">
        <v>119.68</v>
      </c>
      <c r="H26" s="4">
        <v>100.88</v>
      </c>
      <c r="I26" t="s">
        <v>84</v>
      </c>
    </row>
    <row r="27" spans="1:9" x14ac:dyDescent="0.25">
      <c r="A27" t="s">
        <v>58</v>
      </c>
      <c r="B27" s="4">
        <v>99.4</v>
      </c>
      <c r="C27" s="4">
        <v>81.39</v>
      </c>
      <c r="D27" s="4">
        <v>124.23</v>
      </c>
      <c r="E27" s="4">
        <v>100.28</v>
      </c>
      <c r="F27" s="4">
        <v>100.91</v>
      </c>
      <c r="G27" s="4">
        <v>105.79</v>
      </c>
      <c r="H27" s="4">
        <v>122.66</v>
      </c>
      <c r="I27" t="s">
        <v>84</v>
      </c>
    </row>
    <row r="28" spans="1:9" x14ac:dyDescent="0.25">
      <c r="A28" t="s">
        <v>59</v>
      </c>
      <c r="B28" s="4">
        <v>85.88</v>
      </c>
      <c r="C28" s="4">
        <v>57.42</v>
      </c>
      <c r="D28" s="4">
        <v>94.58</v>
      </c>
      <c r="E28" s="4">
        <v>87.76</v>
      </c>
      <c r="F28" s="4">
        <v>128.84</v>
      </c>
      <c r="G28" s="4">
        <v>109.46</v>
      </c>
      <c r="H28" s="4">
        <v>117.15</v>
      </c>
      <c r="I28" t="s">
        <v>84</v>
      </c>
    </row>
    <row r="29" spans="1:9" x14ac:dyDescent="0.25">
      <c r="A29" t="s">
        <v>60</v>
      </c>
      <c r="B29" s="4">
        <v>95.43</v>
      </c>
      <c r="C29" s="4">
        <v>69.59</v>
      </c>
      <c r="D29" s="4">
        <v>110.42</v>
      </c>
      <c r="E29" s="4">
        <v>99.92</v>
      </c>
      <c r="F29" s="4">
        <v>113.88</v>
      </c>
      <c r="G29" s="4">
        <v>118.75</v>
      </c>
      <c r="H29" s="4">
        <v>128.44999999999999</v>
      </c>
      <c r="I29" t="s">
        <v>84</v>
      </c>
    </row>
    <row r="30" spans="1:9" x14ac:dyDescent="0.25">
      <c r="A30" t="s">
        <v>61</v>
      </c>
      <c r="B30" s="4">
        <v>105.17</v>
      </c>
      <c r="C30" s="4">
        <v>83.5</v>
      </c>
      <c r="D30" s="4">
        <v>117.43</v>
      </c>
      <c r="E30" s="4">
        <v>110.95</v>
      </c>
      <c r="F30" s="4">
        <v>111.96</v>
      </c>
      <c r="G30" s="4">
        <v>120.97</v>
      </c>
      <c r="H30" s="4">
        <v>147.53</v>
      </c>
      <c r="I30" t="s">
        <v>84</v>
      </c>
    </row>
    <row r="31" spans="1:9" x14ac:dyDescent="0.25">
      <c r="A31" t="s">
        <v>62</v>
      </c>
      <c r="B31" s="4">
        <v>124.79</v>
      </c>
      <c r="C31" s="4">
        <v>79.37</v>
      </c>
      <c r="D31" s="4">
        <v>143.4</v>
      </c>
      <c r="E31" s="4">
        <v>66.19</v>
      </c>
      <c r="F31" s="4">
        <v>127.05</v>
      </c>
      <c r="G31" s="4">
        <v>189.88</v>
      </c>
      <c r="H31" s="4">
        <v>135.35</v>
      </c>
      <c r="I31" t="s">
        <v>84</v>
      </c>
    </row>
    <row r="32" spans="1:9" x14ac:dyDescent="0.25">
      <c r="A32" t="s">
        <v>63</v>
      </c>
      <c r="B32" s="4">
        <v>100.59</v>
      </c>
      <c r="C32" s="4">
        <v>65.83</v>
      </c>
      <c r="D32" s="4">
        <v>109.66</v>
      </c>
      <c r="E32" s="4">
        <v>120.07</v>
      </c>
      <c r="F32" s="4">
        <v>119.37</v>
      </c>
      <c r="G32" s="4">
        <v>122.67</v>
      </c>
      <c r="H32" s="4">
        <v>118.64</v>
      </c>
      <c r="I32" t="s">
        <v>84</v>
      </c>
    </row>
    <row r="33" spans="1:9" x14ac:dyDescent="0.25">
      <c r="A33" t="s">
        <v>64</v>
      </c>
      <c r="B33" s="4">
        <v>112.88</v>
      </c>
      <c r="C33" s="4">
        <v>85.4</v>
      </c>
      <c r="D33" s="4">
        <v>116.65</v>
      </c>
      <c r="E33" s="4">
        <v>136.26</v>
      </c>
      <c r="F33" s="4">
        <v>113.34</v>
      </c>
      <c r="G33" s="4">
        <v>146.28</v>
      </c>
      <c r="H33" s="4">
        <v>98.31</v>
      </c>
      <c r="I33" t="s">
        <v>84</v>
      </c>
    </row>
    <row r="34" spans="1:9" x14ac:dyDescent="0.25">
      <c r="A34" t="s">
        <v>65</v>
      </c>
      <c r="B34" s="4">
        <v>110.46</v>
      </c>
      <c r="C34" s="4">
        <v>99.26</v>
      </c>
      <c r="D34" s="4">
        <v>86.68</v>
      </c>
      <c r="E34" s="4">
        <v>144.56</v>
      </c>
      <c r="F34" s="4">
        <v>103.69</v>
      </c>
      <c r="G34" s="4">
        <v>152.81</v>
      </c>
      <c r="H34" s="4">
        <v>119.22</v>
      </c>
      <c r="I34" t="s">
        <v>84</v>
      </c>
    </row>
    <row r="35" spans="1:9" x14ac:dyDescent="0.25">
      <c r="A35" t="s">
        <v>66</v>
      </c>
      <c r="B35" s="4">
        <v>117.8</v>
      </c>
      <c r="C35" s="4">
        <v>91.43</v>
      </c>
      <c r="D35" s="4">
        <v>111.91</v>
      </c>
      <c r="E35" s="4">
        <v>115.94</v>
      </c>
      <c r="F35" s="4">
        <v>108.84</v>
      </c>
      <c r="G35" s="4">
        <v>314.86</v>
      </c>
      <c r="H35" s="4">
        <v>125.85</v>
      </c>
      <c r="I35" t="s">
        <v>84</v>
      </c>
    </row>
    <row r="36" spans="1:9" x14ac:dyDescent="0.25">
      <c r="A36" t="s">
        <v>67</v>
      </c>
      <c r="B36" s="4">
        <v>118.82</v>
      </c>
      <c r="C36" s="4">
        <v>95.33</v>
      </c>
      <c r="D36" s="4">
        <v>110.28</v>
      </c>
      <c r="E36" s="4">
        <v>146.13</v>
      </c>
      <c r="F36" s="4">
        <v>129.71</v>
      </c>
      <c r="G36" s="4">
        <v>232.79</v>
      </c>
      <c r="H36" s="4">
        <v>124.76</v>
      </c>
      <c r="I36" t="s">
        <v>84</v>
      </c>
    </row>
    <row r="37" spans="1:9" x14ac:dyDescent="0.25">
      <c r="A37" t="s">
        <v>68</v>
      </c>
      <c r="B37" s="4">
        <v>126.48</v>
      </c>
      <c r="C37" s="4">
        <v>82.93</v>
      </c>
      <c r="D37" s="4">
        <v>104.25</v>
      </c>
      <c r="E37" s="4">
        <v>189.75</v>
      </c>
      <c r="F37" s="4">
        <v>167.82</v>
      </c>
      <c r="G37" s="4">
        <v>225.46</v>
      </c>
      <c r="H37" s="4">
        <v>140.02000000000001</v>
      </c>
      <c r="I37" t="s">
        <v>84</v>
      </c>
    </row>
    <row r="38" spans="1:9" x14ac:dyDescent="0.25">
      <c r="A38" t="s">
        <v>69</v>
      </c>
      <c r="B38" s="4">
        <v>130.33000000000001</v>
      </c>
      <c r="C38" s="4">
        <v>99.66</v>
      </c>
      <c r="D38" s="4">
        <v>101.56</v>
      </c>
      <c r="E38" s="4">
        <v>190.49</v>
      </c>
      <c r="F38" s="4">
        <v>144.55000000000001</v>
      </c>
      <c r="G38" s="4">
        <v>215.18</v>
      </c>
      <c r="H38" s="4">
        <v>119.87</v>
      </c>
      <c r="I38" t="s">
        <v>84</v>
      </c>
    </row>
    <row r="39" spans="1:9" x14ac:dyDescent="0.25">
      <c r="A39" t="s">
        <v>70</v>
      </c>
      <c r="B39" s="4">
        <v>117.86</v>
      </c>
      <c r="C39" s="4">
        <v>89.08</v>
      </c>
      <c r="D39" s="4">
        <v>111.71</v>
      </c>
      <c r="E39" s="4">
        <v>112.11</v>
      </c>
      <c r="F39" s="4">
        <v>125.71</v>
      </c>
      <c r="G39" s="4">
        <v>197.24</v>
      </c>
      <c r="H39" s="4">
        <v>118.2</v>
      </c>
      <c r="I39" t="s">
        <v>84</v>
      </c>
    </row>
    <row r="40" spans="1:9" x14ac:dyDescent="0.25">
      <c r="A40" t="s">
        <v>71</v>
      </c>
      <c r="B40" s="4">
        <v>115.23</v>
      </c>
      <c r="C40" s="4">
        <v>90.54</v>
      </c>
      <c r="D40" s="4">
        <v>111.27</v>
      </c>
      <c r="E40" s="4">
        <v>97.95</v>
      </c>
      <c r="F40" s="4">
        <v>117.93</v>
      </c>
      <c r="G40" s="4">
        <v>211.89</v>
      </c>
      <c r="H40" s="4">
        <v>127</v>
      </c>
      <c r="I40" t="s">
        <v>84</v>
      </c>
    </row>
    <row r="41" spans="1:9" x14ac:dyDescent="0.25">
      <c r="A41" t="s">
        <v>72</v>
      </c>
      <c r="B41" s="4">
        <v>110</v>
      </c>
      <c r="C41" s="4">
        <v>95.09</v>
      </c>
      <c r="D41" s="4">
        <v>93.93</v>
      </c>
      <c r="E41" s="4">
        <v>81.349999999999994</v>
      </c>
      <c r="F41" s="4">
        <v>112.09</v>
      </c>
      <c r="G41" s="4">
        <v>130.97999999999999</v>
      </c>
      <c r="H41" s="4">
        <v>101.38</v>
      </c>
      <c r="I41" t="s">
        <v>84</v>
      </c>
    </row>
    <row r="42" spans="1:9" x14ac:dyDescent="0.25">
      <c r="A42" t="s">
        <v>73</v>
      </c>
      <c r="B42" s="4">
        <v>119.3</v>
      </c>
      <c r="C42" s="4">
        <v>91.22</v>
      </c>
      <c r="D42" s="4">
        <v>114.88</v>
      </c>
      <c r="E42" s="4">
        <v>113.67</v>
      </c>
      <c r="F42" s="4">
        <v>120.73</v>
      </c>
      <c r="G42" s="4">
        <v>218.91</v>
      </c>
      <c r="H42" s="4">
        <v>101.04</v>
      </c>
      <c r="I42" t="s">
        <v>84</v>
      </c>
    </row>
    <row r="43" spans="1:9" x14ac:dyDescent="0.25">
      <c r="A43" t="s">
        <v>74</v>
      </c>
      <c r="B43" s="4">
        <v>105.73</v>
      </c>
      <c r="C43" s="4">
        <v>75.44</v>
      </c>
      <c r="D43" s="4">
        <v>108.78</v>
      </c>
      <c r="E43" s="4">
        <v>79.81</v>
      </c>
      <c r="F43" s="4">
        <v>114.99</v>
      </c>
      <c r="G43" s="4">
        <v>224.32</v>
      </c>
      <c r="H43" s="4">
        <v>117.26</v>
      </c>
      <c r="I43" t="s">
        <v>84</v>
      </c>
    </row>
    <row r="44" spans="1:9" x14ac:dyDescent="0.25">
      <c r="A44" t="s">
        <v>75</v>
      </c>
      <c r="B44" s="4">
        <v>97.6</v>
      </c>
      <c r="C44" s="4">
        <v>63.86</v>
      </c>
      <c r="D44" s="4">
        <v>102.02</v>
      </c>
      <c r="E44" s="4">
        <v>71.709999999999994</v>
      </c>
      <c r="F44" s="4">
        <v>106.28</v>
      </c>
      <c r="G44" s="4">
        <v>227.45</v>
      </c>
      <c r="H44" s="4">
        <v>122.87</v>
      </c>
      <c r="I44" t="s">
        <v>84</v>
      </c>
    </row>
    <row r="45" spans="1:9" x14ac:dyDescent="0.25">
      <c r="A45" t="s">
        <v>76</v>
      </c>
      <c r="B45" s="4">
        <v>90.98</v>
      </c>
      <c r="C45" s="4">
        <v>64.28</v>
      </c>
      <c r="D45" s="4">
        <v>96.1</v>
      </c>
      <c r="E45" s="4">
        <v>90.18</v>
      </c>
      <c r="F45" s="4">
        <v>89.71</v>
      </c>
      <c r="G45" s="4">
        <v>217.89</v>
      </c>
      <c r="H45" s="4">
        <v>90.42</v>
      </c>
      <c r="I45" t="s">
        <v>84</v>
      </c>
    </row>
    <row r="46" spans="1:9" x14ac:dyDescent="0.25">
      <c r="A46" t="s">
        <v>77</v>
      </c>
      <c r="B46" s="4">
        <v>111.37</v>
      </c>
      <c r="C46" s="4">
        <v>83.32</v>
      </c>
      <c r="D46" s="4">
        <v>99.96</v>
      </c>
      <c r="E46" s="4">
        <v>124.81</v>
      </c>
      <c r="F46" s="4">
        <v>92.28</v>
      </c>
      <c r="G46" s="4">
        <v>237.14</v>
      </c>
      <c r="H46" s="4">
        <v>115.08</v>
      </c>
      <c r="I46" t="s">
        <v>84</v>
      </c>
    </row>
    <row r="47" spans="1:9" x14ac:dyDescent="0.25">
      <c r="A47" t="s">
        <v>78</v>
      </c>
      <c r="B47" s="4">
        <v>105.78</v>
      </c>
      <c r="C47" s="4">
        <v>74.44</v>
      </c>
      <c r="D47" s="4">
        <v>98.23</v>
      </c>
      <c r="E47" s="4">
        <v>159.13999999999999</v>
      </c>
      <c r="F47" s="4">
        <v>94.87</v>
      </c>
      <c r="G47" s="4">
        <v>239.41</v>
      </c>
      <c r="H47" s="4">
        <v>104.07</v>
      </c>
      <c r="I47" t="s">
        <v>84</v>
      </c>
    </row>
    <row r="48" spans="1:9" x14ac:dyDescent="0.25">
      <c r="A48" t="s">
        <v>79</v>
      </c>
      <c r="B48" s="4">
        <v>93.17</v>
      </c>
      <c r="C48" s="4">
        <v>75.400000000000006</v>
      </c>
      <c r="D48" s="4">
        <v>107.53</v>
      </c>
      <c r="E48" s="4">
        <v>128.6</v>
      </c>
      <c r="F48" s="4">
        <v>93.02</v>
      </c>
      <c r="G48" s="4">
        <v>169.24</v>
      </c>
      <c r="H48" s="4">
        <v>104.79</v>
      </c>
      <c r="I48" t="s">
        <v>84</v>
      </c>
    </row>
    <row r="49" spans="1:9" x14ac:dyDescent="0.25">
      <c r="A49" t="s">
        <v>80</v>
      </c>
      <c r="B49" s="4">
        <v>110.47</v>
      </c>
      <c r="C49" s="4">
        <v>78.14</v>
      </c>
      <c r="D49" s="4">
        <v>107.46</v>
      </c>
      <c r="E49" s="4">
        <v>177.25</v>
      </c>
      <c r="F49" s="4">
        <v>115.79</v>
      </c>
      <c r="G49" s="4">
        <v>155.49</v>
      </c>
      <c r="H49" s="4">
        <v>92.93</v>
      </c>
      <c r="I49" t="s">
        <v>84</v>
      </c>
    </row>
    <row r="50" spans="1:9" x14ac:dyDescent="0.25">
      <c r="A50" t="s">
        <v>81</v>
      </c>
      <c r="B50" s="4">
        <v>100.89</v>
      </c>
      <c r="C50" s="4">
        <v>82.92</v>
      </c>
      <c r="D50" s="4">
        <v>81.739999999999995</v>
      </c>
      <c r="E50" s="4">
        <v>100.01</v>
      </c>
      <c r="F50" s="4">
        <v>90.21</v>
      </c>
      <c r="G50" s="4">
        <v>152.72999999999999</v>
      </c>
      <c r="H50" s="4">
        <v>104.92</v>
      </c>
      <c r="I50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"/>
  <sheetViews>
    <sheetView workbookViewId="0">
      <pane xSplit="1" ySplit="2" topLeftCell="B27" activePane="bottomRight" state="frozen"/>
      <selection pane="topRight"/>
      <selection pane="bottomLeft"/>
      <selection pane="bottomRight" activeCell="G36" sqref="G36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90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s="4">
        <v>100</v>
      </c>
    </row>
    <row r="4" spans="1:9" x14ac:dyDescent="0.25">
      <c r="A4" t="s">
        <v>35</v>
      </c>
      <c r="B4" s="4">
        <v>98.21</v>
      </c>
      <c r="C4" s="4">
        <v>103.08</v>
      </c>
      <c r="D4" s="4">
        <v>136.49</v>
      </c>
      <c r="E4" s="4">
        <v>104.01</v>
      </c>
      <c r="F4" s="4">
        <v>89.31</v>
      </c>
      <c r="G4" s="4">
        <v>95.63</v>
      </c>
      <c r="H4" s="4">
        <v>72.290000000000006</v>
      </c>
      <c r="I4" s="4">
        <v>88.21</v>
      </c>
    </row>
    <row r="5" spans="1:9" x14ac:dyDescent="0.25">
      <c r="A5" t="s">
        <v>36</v>
      </c>
      <c r="B5" s="4">
        <v>93.84</v>
      </c>
      <c r="C5" s="4">
        <v>101.51</v>
      </c>
      <c r="D5" s="4">
        <v>100.28</v>
      </c>
      <c r="E5" s="4">
        <v>86.63</v>
      </c>
      <c r="F5" s="4">
        <v>132.49</v>
      </c>
      <c r="G5" s="4">
        <v>109.35</v>
      </c>
      <c r="H5" s="4">
        <v>98.01</v>
      </c>
      <c r="I5" s="4">
        <v>81.48</v>
      </c>
    </row>
    <row r="6" spans="1:9" x14ac:dyDescent="0.25">
      <c r="A6" t="s">
        <v>37</v>
      </c>
      <c r="B6" s="4">
        <v>100.37</v>
      </c>
      <c r="C6" s="4">
        <v>123.45</v>
      </c>
      <c r="D6" s="4">
        <v>138.6</v>
      </c>
      <c r="E6" s="4">
        <v>100.71</v>
      </c>
      <c r="F6" s="4">
        <v>91.26</v>
      </c>
      <c r="G6" s="4">
        <v>90.42</v>
      </c>
      <c r="H6" s="4">
        <v>78.400000000000006</v>
      </c>
      <c r="I6" s="4">
        <v>71.7</v>
      </c>
    </row>
    <row r="7" spans="1:9" x14ac:dyDescent="0.25">
      <c r="A7" t="s">
        <v>38</v>
      </c>
      <c r="B7" s="4">
        <v>101.15</v>
      </c>
      <c r="C7" s="4">
        <v>127.43</v>
      </c>
      <c r="D7" s="4">
        <v>130.9</v>
      </c>
      <c r="E7" s="4">
        <v>110.95</v>
      </c>
      <c r="F7" s="4">
        <v>118.86</v>
      </c>
      <c r="G7" s="4">
        <v>106.91</v>
      </c>
      <c r="H7" s="4">
        <v>77.61</v>
      </c>
      <c r="I7" s="4">
        <v>73.400000000000006</v>
      </c>
    </row>
    <row r="8" spans="1:9" x14ac:dyDescent="0.25">
      <c r="A8" t="s">
        <v>39</v>
      </c>
      <c r="B8" s="4">
        <v>90.33</v>
      </c>
      <c r="C8" s="4">
        <v>109.4</v>
      </c>
      <c r="D8" s="4">
        <v>117.29</v>
      </c>
      <c r="E8" s="4">
        <v>92.9</v>
      </c>
      <c r="F8" s="4">
        <v>111.48</v>
      </c>
      <c r="G8" s="4">
        <v>116.86</v>
      </c>
      <c r="H8" s="4">
        <v>80.94</v>
      </c>
      <c r="I8" s="4">
        <v>85.53</v>
      </c>
    </row>
    <row r="9" spans="1:9" x14ac:dyDescent="0.25">
      <c r="A9" t="s">
        <v>40</v>
      </c>
      <c r="B9" s="4">
        <v>98.55</v>
      </c>
      <c r="C9" s="4">
        <v>130.76</v>
      </c>
      <c r="D9" s="4">
        <v>118.03</v>
      </c>
      <c r="E9" s="4">
        <v>98.6</v>
      </c>
      <c r="F9" s="4">
        <v>74.45</v>
      </c>
      <c r="G9" s="4">
        <v>93.47</v>
      </c>
      <c r="H9" s="4">
        <v>94.14</v>
      </c>
      <c r="I9" s="4">
        <v>94.54</v>
      </c>
    </row>
    <row r="10" spans="1:9" x14ac:dyDescent="0.25">
      <c r="A10" t="s">
        <v>41</v>
      </c>
      <c r="B10" s="4">
        <v>100.68</v>
      </c>
      <c r="C10" s="4">
        <v>127.62</v>
      </c>
      <c r="D10" s="4">
        <v>161.94</v>
      </c>
      <c r="E10" s="4">
        <v>98.93</v>
      </c>
      <c r="F10" s="4">
        <v>129.55000000000001</v>
      </c>
      <c r="G10" s="4">
        <v>108.43</v>
      </c>
      <c r="H10" s="4">
        <v>89.33</v>
      </c>
      <c r="I10" s="4">
        <v>91.34</v>
      </c>
    </row>
    <row r="11" spans="1:9" x14ac:dyDescent="0.25">
      <c r="A11" t="s">
        <v>42</v>
      </c>
      <c r="B11" s="4">
        <v>103.27</v>
      </c>
      <c r="C11" s="4">
        <v>141.04</v>
      </c>
      <c r="D11" s="4">
        <v>154.21</v>
      </c>
      <c r="E11" s="4">
        <v>104.07</v>
      </c>
      <c r="F11" s="4">
        <v>125.19</v>
      </c>
      <c r="G11" s="4">
        <v>103.18</v>
      </c>
      <c r="H11" s="4">
        <v>100.56</v>
      </c>
      <c r="I11" s="4">
        <v>77.63</v>
      </c>
    </row>
    <row r="12" spans="1:9" x14ac:dyDescent="0.25">
      <c r="A12" t="s">
        <v>43</v>
      </c>
      <c r="B12" s="4">
        <v>102.06</v>
      </c>
      <c r="C12" s="4">
        <v>105.38</v>
      </c>
      <c r="D12" s="4">
        <v>158.1</v>
      </c>
      <c r="E12" s="4">
        <v>108.99</v>
      </c>
      <c r="F12" s="4">
        <v>138.97999999999999</v>
      </c>
      <c r="G12" s="4">
        <v>107.26</v>
      </c>
      <c r="H12" s="4">
        <v>88.98</v>
      </c>
      <c r="I12" s="4">
        <v>77.52</v>
      </c>
    </row>
    <row r="13" spans="1:9" x14ac:dyDescent="0.25">
      <c r="A13" t="s">
        <v>44</v>
      </c>
      <c r="B13" s="4">
        <v>102.24</v>
      </c>
      <c r="C13" s="4">
        <v>134.26</v>
      </c>
      <c r="D13" s="4">
        <v>135.32</v>
      </c>
      <c r="E13" s="4">
        <v>96.2</v>
      </c>
      <c r="F13" s="4">
        <v>145.47999999999999</v>
      </c>
      <c r="G13" s="4">
        <v>117.86</v>
      </c>
      <c r="H13" s="4">
        <v>93.95</v>
      </c>
      <c r="I13" s="4">
        <v>89.72</v>
      </c>
    </row>
    <row r="14" spans="1:9" x14ac:dyDescent="0.25">
      <c r="A14" t="s">
        <v>45</v>
      </c>
      <c r="B14" s="4">
        <v>107.85</v>
      </c>
      <c r="C14" s="4">
        <v>144.91</v>
      </c>
      <c r="D14" s="4">
        <v>162.18</v>
      </c>
      <c r="E14" s="4">
        <v>102.72</v>
      </c>
      <c r="F14" s="4">
        <v>184.66</v>
      </c>
      <c r="G14" s="4">
        <v>111.39</v>
      </c>
      <c r="H14" s="4">
        <v>94.62</v>
      </c>
      <c r="I14" s="4">
        <v>91.6</v>
      </c>
    </row>
    <row r="15" spans="1:9" x14ac:dyDescent="0.25">
      <c r="A15" t="s">
        <v>46</v>
      </c>
      <c r="B15" s="4">
        <v>118.36</v>
      </c>
      <c r="C15" s="4">
        <v>142.75</v>
      </c>
      <c r="D15" s="4">
        <v>192.57</v>
      </c>
      <c r="E15" s="4">
        <v>109.36</v>
      </c>
      <c r="F15" s="4">
        <v>172.77</v>
      </c>
      <c r="G15" s="4">
        <v>144.43</v>
      </c>
      <c r="H15" s="4">
        <v>123.63</v>
      </c>
      <c r="I15" s="4">
        <v>98.46</v>
      </c>
    </row>
    <row r="16" spans="1:9" x14ac:dyDescent="0.25">
      <c r="A16" t="s">
        <v>47</v>
      </c>
      <c r="B16" s="4">
        <v>111.18</v>
      </c>
      <c r="C16" s="4">
        <v>147.01</v>
      </c>
      <c r="D16" s="4">
        <v>163.89</v>
      </c>
      <c r="E16" s="4">
        <v>115.91</v>
      </c>
      <c r="F16" s="4">
        <v>149.04</v>
      </c>
      <c r="G16" s="4">
        <v>107.69</v>
      </c>
      <c r="H16" s="4">
        <v>110.26</v>
      </c>
      <c r="I16" s="4">
        <v>100.86</v>
      </c>
    </row>
    <row r="17" spans="1:9" x14ac:dyDescent="0.25">
      <c r="A17" t="s">
        <v>48</v>
      </c>
      <c r="B17" s="4">
        <v>111.44</v>
      </c>
      <c r="C17" s="4">
        <v>151.68</v>
      </c>
      <c r="D17" s="4">
        <v>159.47999999999999</v>
      </c>
      <c r="E17" s="4">
        <v>111.6</v>
      </c>
      <c r="F17" s="4">
        <v>154.66999999999999</v>
      </c>
      <c r="G17" s="4">
        <v>103.29</v>
      </c>
      <c r="H17" s="4">
        <v>106.37</v>
      </c>
      <c r="I17" s="4">
        <v>91.19</v>
      </c>
    </row>
    <row r="18" spans="1:9" x14ac:dyDescent="0.25">
      <c r="A18" t="s">
        <v>49</v>
      </c>
      <c r="B18" s="4">
        <v>123.38</v>
      </c>
      <c r="C18" s="4">
        <v>135.61000000000001</v>
      </c>
      <c r="D18" s="4">
        <v>175.34</v>
      </c>
      <c r="E18" s="4">
        <v>125.97</v>
      </c>
      <c r="F18" s="4">
        <v>190.22</v>
      </c>
      <c r="G18" s="4">
        <v>121.85</v>
      </c>
      <c r="H18" s="4">
        <v>126.07</v>
      </c>
      <c r="I18" s="4">
        <v>87.38</v>
      </c>
    </row>
    <row r="19" spans="1:9" x14ac:dyDescent="0.25">
      <c r="A19" t="s">
        <v>50</v>
      </c>
      <c r="B19" s="4">
        <v>126.67</v>
      </c>
      <c r="C19" s="4">
        <v>150.9</v>
      </c>
      <c r="D19" s="4">
        <v>187.21</v>
      </c>
      <c r="E19" s="4">
        <v>118.75</v>
      </c>
      <c r="F19" s="4">
        <v>182.08</v>
      </c>
      <c r="G19" s="4">
        <v>127.23</v>
      </c>
      <c r="H19" s="4">
        <v>120.51</v>
      </c>
      <c r="I19" s="4">
        <v>101.23</v>
      </c>
    </row>
    <row r="20" spans="1:9" x14ac:dyDescent="0.25">
      <c r="A20" t="s">
        <v>51</v>
      </c>
      <c r="B20" s="4">
        <v>122.47</v>
      </c>
      <c r="C20" s="4">
        <v>149.79</v>
      </c>
      <c r="D20" s="4">
        <v>176.43</v>
      </c>
      <c r="E20" s="4">
        <v>120.76</v>
      </c>
      <c r="F20" s="4">
        <v>135.69999999999999</v>
      </c>
      <c r="G20" s="4">
        <v>141.16</v>
      </c>
      <c r="H20" s="4">
        <v>103.91</v>
      </c>
      <c r="I20" s="4">
        <v>134.85</v>
      </c>
    </row>
    <row r="21" spans="1:9" x14ac:dyDescent="0.25">
      <c r="A21" t="s">
        <v>52</v>
      </c>
      <c r="B21" s="4">
        <v>130.93</v>
      </c>
      <c r="C21" s="4">
        <v>160.08000000000001</v>
      </c>
      <c r="D21" s="4">
        <v>175.65</v>
      </c>
      <c r="E21" s="4">
        <v>129.99</v>
      </c>
      <c r="F21" s="4">
        <v>177.58</v>
      </c>
      <c r="G21" s="4">
        <v>162.74</v>
      </c>
      <c r="H21" s="4">
        <v>106.89</v>
      </c>
      <c r="I21" s="4">
        <v>141.78</v>
      </c>
    </row>
    <row r="22" spans="1:9" x14ac:dyDescent="0.25">
      <c r="A22" t="s">
        <v>53</v>
      </c>
      <c r="B22" s="4">
        <v>147.11000000000001</v>
      </c>
      <c r="C22" s="4">
        <v>175.47</v>
      </c>
      <c r="D22" s="4">
        <v>204.36</v>
      </c>
      <c r="E22" s="4">
        <v>149.68</v>
      </c>
      <c r="F22" s="4">
        <v>206.36</v>
      </c>
      <c r="G22" s="4">
        <v>135.35</v>
      </c>
      <c r="H22" s="4">
        <v>109.48</v>
      </c>
      <c r="I22" s="4">
        <v>168.17</v>
      </c>
    </row>
    <row r="23" spans="1:9" x14ac:dyDescent="0.25">
      <c r="A23" t="s">
        <v>54</v>
      </c>
      <c r="B23" s="4">
        <v>135.03</v>
      </c>
      <c r="C23" s="4">
        <v>148.1</v>
      </c>
      <c r="D23" s="4">
        <v>147.09</v>
      </c>
      <c r="E23" s="4">
        <v>144.53</v>
      </c>
      <c r="F23" s="4">
        <v>157.94</v>
      </c>
      <c r="G23" s="4">
        <v>137.33000000000001</v>
      </c>
      <c r="H23" s="4">
        <v>105.31</v>
      </c>
      <c r="I23" s="4">
        <v>159.96</v>
      </c>
    </row>
    <row r="24" spans="1:9" x14ac:dyDescent="0.25">
      <c r="A24" t="s">
        <v>55</v>
      </c>
      <c r="B24" s="4">
        <v>135.43</v>
      </c>
      <c r="C24" s="4">
        <v>133</v>
      </c>
      <c r="D24" s="4">
        <v>170.96</v>
      </c>
      <c r="E24" s="4">
        <v>149.32</v>
      </c>
      <c r="F24" s="4">
        <v>154.56</v>
      </c>
      <c r="G24" s="4">
        <v>151.26</v>
      </c>
      <c r="H24" s="4">
        <v>90.49</v>
      </c>
      <c r="I24" s="4">
        <v>129.54</v>
      </c>
    </row>
    <row r="25" spans="1:9" x14ac:dyDescent="0.25">
      <c r="A25" t="s">
        <v>56</v>
      </c>
      <c r="B25" s="4">
        <v>130.96</v>
      </c>
      <c r="C25" s="4">
        <v>162.82</v>
      </c>
      <c r="D25" s="4">
        <v>146.06</v>
      </c>
      <c r="E25" s="4">
        <v>134.9</v>
      </c>
      <c r="F25" s="4">
        <v>133.22</v>
      </c>
      <c r="G25" s="4">
        <v>145.30000000000001</v>
      </c>
      <c r="H25" s="4">
        <v>95.39</v>
      </c>
      <c r="I25" s="4">
        <v>120.98</v>
      </c>
    </row>
    <row r="26" spans="1:9" x14ac:dyDescent="0.25">
      <c r="A26" t="s">
        <v>57</v>
      </c>
      <c r="B26" s="4">
        <v>130.54</v>
      </c>
      <c r="C26" s="4">
        <v>133.75</v>
      </c>
      <c r="D26" s="4">
        <v>160.30000000000001</v>
      </c>
      <c r="E26" s="4">
        <v>132.44</v>
      </c>
      <c r="F26" s="4">
        <v>140.83000000000001</v>
      </c>
      <c r="G26" s="4">
        <v>146.43</v>
      </c>
      <c r="H26" s="4">
        <v>95.1</v>
      </c>
      <c r="I26" s="4">
        <v>136.1</v>
      </c>
    </row>
    <row r="27" spans="1:9" x14ac:dyDescent="0.25">
      <c r="A27" t="s">
        <v>58</v>
      </c>
      <c r="B27" s="4">
        <v>125.08</v>
      </c>
      <c r="C27" s="4">
        <v>139.30000000000001</v>
      </c>
      <c r="D27" s="4">
        <v>147.08000000000001</v>
      </c>
      <c r="E27" s="4">
        <v>124.12</v>
      </c>
      <c r="F27" s="4">
        <v>160.72999999999999</v>
      </c>
      <c r="G27" s="4">
        <v>123.38</v>
      </c>
      <c r="H27" s="4">
        <v>101.43</v>
      </c>
      <c r="I27" s="4">
        <v>142.91</v>
      </c>
    </row>
    <row r="28" spans="1:9" x14ac:dyDescent="0.25">
      <c r="A28" t="s">
        <v>59</v>
      </c>
      <c r="B28" s="4">
        <v>124.48</v>
      </c>
      <c r="C28" s="4">
        <v>144.46</v>
      </c>
      <c r="D28" s="4">
        <v>182.59</v>
      </c>
      <c r="E28" s="4">
        <v>105.6</v>
      </c>
      <c r="F28" s="4">
        <v>150</v>
      </c>
      <c r="G28" s="4">
        <v>173.02</v>
      </c>
      <c r="H28" s="4">
        <v>113.93</v>
      </c>
      <c r="I28" s="4">
        <v>155.94</v>
      </c>
    </row>
    <row r="29" spans="1:9" x14ac:dyDescent="0.25">
      <c r="A29" t="s">
        <v>60</v>
      </c>
      <c r="B29" s="4">
        <v>127.94</v>
      </c>
      <c r="C29" s="4">
        <v>142.66999999999999</v>
      </c>
      <c r="D29" s="4">
        <v>199.54</v>
      </c>
      <c r="E29" s="4">
        <v>118.9</v>
      </c>
      <c r="F29" s="4">
        <v>177.13</v>
      </c>
      <c r="G29" s="4">
        <v>145.78</v>
      </c>
      <c r="H29" s="4">
        <v>102.35</v>
      </c>
      <c r="I29" s="4">
        <v>124.94</v>
      </c>
    </row>
    <row r="30" spans="1:9" x14ac:dyDescent="0.25">
      <c r="A30" t="s">
        <v>61</v>
      </c>
      <c r="B30" s="4">
        <v>142.25</v>
      </c>
      <c r="C30" s="4">
        <v>163.30000000000001</v>
      </c>
      <c r="D30" s="4">
        <v>224.44</v>
      </c>
      <c r="E30" s="4">
        <v>129.35</v>
      </c>
      <c r="F30" s="4">
        <v>196.49</v>
      </c>
      <c r="G30" s="4">
        <v>159.85</v>
      </c>
      <c r="H30" s="4">
        <v>128.09</v>
      </c>
      <c r="I30" s="4">
        <v>135.29</v>
      </c>
    </row>
    <row r="31" spans="1:9" x14ac:dyDescent="0.25">
      <c r="A31" t="s">
        <v>62</v>
      </c>
      <c r="B31" s="4">
        <v>140.08000000000001</v>
      </c>
      <c r="C31" s="4">
        <v>156.77000000000001</v>
      </c>
      <c r="D31" s="4">
        <v>225.95</v>
      </c>
      <c r="E31" s="4">
        <v>128.35</v>
      </c>
      <c r="F31" s="4">
        <v>150.1</v>
      </c>
      <c r="G31" s="4">
        <v>163.62</v>
      </c>
      <c r="H31" s="4">
        <v>116.13</v>
      </c>
      <c r="I31" s="4">
        <v>147.9</v>
      </c>
    </row>
    <row r="32" spans="1:9" x14ac:dyDescent="0.25">
      <c r="A32" t="s">
        <v>63</v>
      </c>
      <c r="B32" s="4">
        <v>154.21</v>
      </c>
      <c r="C32" s="4">
        <v>171.18</v>
      </c>
      <c r="D32" s="4">
        <v>224.35</v>
      </c>
      <c r="E32" s="4">
        <v>145.33000000000001</v>
      </c>
      <c r="F32" s="4">
        <v>170.89</v>
      </c>
      <c r="G32" s="4">
        <v>202.54</v>
      </c>
      <c r="H32" s="4">
        <v>137.59</v>
      </c>
      <c r="I32" s="4">
        <v>170.98</v>
      </c>
    </row>
    <row r="33" spans="1:9" x14ac:dyDescent="0.25">
      <c r="A33" t="s">
        <v>64</v>
      </c>
      <c r="B33" s="4">
        <v>147.66</v>
      </c>
      <c r="C33" s="4">
        <v>151.15</v>
      </c>
      <c r="D33" s="4">
        <v>195.95</v>
      </c>
      <c r="E33" s="4">
        <v>144.72</v>
      </c>
      <c r="F33" s="4">
        <v>188.95</v>
      </c>
      <c r="G33" s="4">
        <v>182.64</v>
      </c>
      <c r="H33" s="4">
        <v>112.06</v>
      </c>
      <c r="I33" s="4">
        <v>179.61</v>
      </c>
    </row>
    <row r="34" spans="1:9" x14ac:dyDescent="0.25">
      <c r="A34" t="s">
        <v>65</v>
      </c>
      <c r="B34" s="4">
        <v>137.69</v>
      </c>
      <c r="C34" s="4">
        <v>166.38</v>
      </c>
      <c r="D34" s="4">
        <v>165.67</v>
      </c>
      <c r="E34" s="4">
        <v>138.35</v>
      </c>
      <c r="F34" s="4">
        <v>160.44</v>
      </c>
      <c r="G34" s="4">
        <v>173.34</v>
      </c>
      <c r="H34" s="4">
        <v>101.23</v>
      </c>
      <c r="I34" s="4">
        <v>137.11000000000001</v>
      </c>
    </row>
    <row r="35" spans="1:9" x14ac:dyDescent="0.25">
      <c r="A35" t="s">
        <v>66</v>
      </c>
      <c r="B35" s="4">
        <v>140.63999999999999</v>
      </c>
      <c r="C35" s="4">
        <v>166.97</v>
      </c>
      <c r="D35" s="4">
        <v>173.84</v>
      </c>
      <c r="E35" s="4">
        <v>135.51</v>
      </c>
      <c r="F35" s="4">
        <v>189.8</v>
      </c>
      <c r="G35" s="4">
        <v>152.04</v>
      </c>
      <c r="H35" s="4">
        <v>101.15</v>
      </c>
      <c r="I35" s="4">
        <v>162.18</v>
      </c>
    </row>
    <row r="36" spans="1:9" x14ac:dyDescent="0.25">
      <c r="A36" t="s">
        <v>67</v>
      </c>
      <c r="B36" s="4">
        <v>143.08000000000001</v>
      </c>
      <c r="C36" s="4">
        <v>175.7</v>
      </c>
      <c r="D36" s="4">
        <v>189.36</v>
      </c>
      <c r="E36" s="4">
        <v>144.25</v>
      </c>
      <c r="F36" s="4">
        <v>218.29</v>
      </c>
      <c r="G36" s="4">
        <v>144.27000000000001</v>
      </c>
      <c r="H36" s="4">
        <v>112.59</v>
      </c>
      <c r="I36" s="4">
        <v>156.56</v>
      </c>
    </row>
    <row r="37" spans="1:9" x14ac:dyDescent="0.25">
      <c r="A37" t="s">
        <v>68</v>
      </c>
      <c r="B37" s="4">
        <v>140.52000000000001</v>
      </c>
      <c r="C37" s="4">
        <v>155.25</v>
      </c>
      <c r="D37" s="4">
        <v>191.12</v>
      </c>
      <c r="E37" s="4">
        <v>144.38</v>
      </c>
      <c r="F37" s="4">
        <v>252.5</v>
      </c>
      <c r="G37" s="4">
        <v>124.5</v>
      </c>
      <c r="H37" s="4">
        <v>136.78</v>
      </c>
      <c r="I37" s="4">
        <v>146.46</v>
      </c>
    </row>
    <row r="38" spans="1:9" x14ac:dyDescent="0.25">
      <c r="A38" t="s">
        <v>69</v>
      </c>
      <c r="B38" s="4">
        <v>141.13999999999999</v>
      </c>
      <c r="C38" s="4">
        <v>171.37</v>
      </c>
      <c r="D38" s="4">
        <v>169.69</v>
      </c>
      <c r="E38" s="4">
        <v>134.47</v>
      </c>
      <c r="F38" s="4">
        <v>256.52999999999997</v>
      </c>
      <c r="G38" s="4">
        <v>132.4</v>
      </c>
      <c r="H38" s="4">
        <v>129.26</v>
      </c>
      <c r="I38" s="4">
        <v>175.36</v>
      </c>
    </row>
    <row r="39" spans="1:9" x14ac:dyDescent="0.25">
      <c r="A39" t="s">
        <v>70</v>
      </c>
      <c r="B39" s="4">
        <v>133.26</v>
      </c>
      <c r="C39" s="4">
        <v>171.21</v>
      </c>
      <c r="D39" s="4">
        <v>173.55</v>
      </c>
      <c r="E39" s="4">
        <v>125.16</v>
      </c>
      <c r="F39" s="4">
        <v>195.84</v>
      </c>
      <c r="G39" s="4">
        <v>126.95</v>
      </c>
      <c r="H39" s="4">
        <v>133.16999999999999</v>
      </c>
      <c r="I39" s="4">
        <v>173.96</v>
      </c>
    </row>
    <row r="40" spans="1:9" x14ac:dyDescent="0.25">
      <c r="A40" t="s">
        <v>71</v>
      </c>
      <c r="B40" s="4">
        <v>115.77</v>
      </c>
      <c r="C40" s="4">
        <v>172.89</v>
      </c>
      <c r="D40" s="4">
        <v>165.33</v>
      </c>
      <c r="E40" s="4">
        <v>103.44</v>
      </c>
      <c r="F40" s="4">
        <v>138.28</v>
      </c>
      <c r="G40" s="4">
        <v>113.17</v>
      </c>
      <c r="H40" s="4">
        <v>122.32</v>
      </c>
      <c r="I40" s="4">
        <v>143.9</v>
      </c>
    </row>
    <row r="41" spans="1:9" x14ac:dyDescent="0.25">
      <c r="A41" t="s">
        <v>72</v>
      </c>
      <c r="B41" s="4">
        <v>122.27</v>
      </c>
      <c r="C41" s="4">
        <v>151.22999999999999</v>
      </c>
      <c r="D41" s="4">
        <v>150.06</v>
      </c>
      <c r="E41" s="4">
        <v>113.47</v>
      </c>
      <c r="F41" s="4">
        <v>133.35</v>
      </c>
      <c r="G41" s="4">
        <v>148.93</v>
      </c>
      <c r="H41" s="4">
        <v>107.18</v>
      </c>
      <c r="I41" s="4">
        <v>145.79</v>
      </c>
    </row>
    <row r="42" spans="1:9" x14ac:dyDescent="0.25">
      <c r="A42" t="s">
        <v>73</v>
      </c>
      <c r="B42" s="4">
        <v>120.65</v>
      </c>
      <c r="C42" s="4">
        <v>163.16999999999999</v>
      </c>
      <c r="D42" s="4">
        <v>159.16</v>
      </c>
      <c r="E42" s="4">
        <v>118.21</v>
      </c>
      <c r="F42" s="4">
        <v>160.74</v>
      </c>
      <c r="G42" s="4">
        <v>115.46</v>
      </c>
      <c r="H42" s="4">
        <v>107.76</v>
      </c>
      <c r="I42" s="4">
        <v>145.04</v>
      </c>
    </row>
    <row r="43" spans="1:9" x14ac:dyDescent="0.25">
      <c r="A43" t="s">
        <v>74</v>
      </c>
      <c r="B43" s="4">
        <v>129.22999999999999</v>
      </c>
      <c r="C43" s="4">
        <v>136.69</v>
      </c>
      <c r="D43" s="4">
        <v>177.53</v>
      </c>
      <c r="E43" s="4">
        <v>128.72</v>
      </c>
      <c r="F43" s="4">
        <v>157.01</v>
      </c>
      <c r="G43" s="4">
        <v>120.82</v>
      </c>
      <c r="H43" s="4">
        <v>120.8</v>
      </c>
      <c r="I43" s="4">
        <v>158.9</v>
      </c>
    </row>
    <row r="44" spans="1:9" x14ac:dyDescent="0.25">
      <c r="A44" t="s">
        <v>75</v>
      </c>
      <c r="B44" s="4">
        <v>121.61</v>
      </c>
      <c r="C44" s="4">
        <v>115.57</v>
      </c>
      <c r="D44" s="4">
        <v>169.52</v>
      </c>
      <c r="E44" s="4">
        <v>119.37</v>
      </c>
      <c r="F44" s="4">
        <v>147.34</v>
      </c>
      <c r="G44" s="4">
        <v>136.61000000000001</v>
      </c>
      <c r="H44" s="4">
        <v>134.44999999999999</v>
      </c>
      <c r="I44" s="4">
        <v>134.77000000000001</v>
      </c>
    </row>
    <row r="45" spans="1:9" x14ac:dyDescent="0.25">
      <c r="A45" t="s">
        <v>76</v>
      </c>
      <c r="B45" s="4">
        <v>100.07</v>
      </c>
      <c r="C45" s="4">
        <v>83.69</v>
      </c>
      <c r="D45" s="4">
        <v>142.28</v>
      </c>
      <c r="E45" s="4">
        <v>109.2</v>
      </c>
      <c r="F45" s="4">
        <v>86.35</v>
      </c>
      <c r="G45" s="4">
        <v>114.6</v>
      </c>
      <c r="H45" s="4">
        <v>111.14</v>
      </c>
      <c r="I45" s="4">
        <v>123.22</v>
      </c>
    </row>
    <row r="46" spans="1:9" x14ac:dyDescent="0.25">
      <c r="A46" t="s">
        <v>77</v>
      </c>
      <c r="B46" s="4">
        <v>117.26</v>
      </c>
      <c r="C46" s="4">
        <v>121.09</v>
      </c>
      <c r="D46" s="4">
        <v>159.85</v>
      </c>
      <c r="E46" s="4">
        <v>119.29</v>
      </c>
      <c r="F46" s="4">
        <v>122.56</v>
      </c>
      <c r="G46" s="4">
        <v>110.05</v>
      </c>
      <c r="H46" s="4">
        <v>143.69999999999999</v>
      </c>
      <c r="I46" s="4">
        <v>126.23</v>
      </c>
    </row>
    <row r="47" spans="1:9" x14ac:dyDescent="0.25">
      <c r="A47" t="s">
        <v>78</v>
      </c>
      <c r="B47" s="4">
        <v>127.89</v>
      </c>
      <c r="C47" s="4">
        <v>151.66</v>
      </c>
      <c r="D47" s="4">
        <v>166.06</v>
      </c>
      <c r="E47" s="4">
        <v>129.97</v>
      </c>
      <c r="F47" s="4">
        <v>128.83000000000001</v>
      </c>
      <c r="G47" s="4">
        <v>127.65</v>
      </c>
      <c r="H47" s="4">
        <v>123.93</v>
      </c>
      <c r="I47" s="4">
        <v>138.75</v>
      </c>
    </row>
    <row r="48" spans="1:9" x14ac:dyDescent="0.25">
      <c r="A48" t="s">
        <v>79</v>
      </c>
      <c r="B48" s="4">
        <v>127.73</v>
      </c>
      <c r="C48" s="4">
        <v>150.07</v>
      </c>
      <c r="D48" s="4">
        <v>153.09</v>
      </c>
      <c r="E48" s="4">
        <v>134.71</v>
      </c>
      <c r="F48" s="4">
        <v>136.41999999999999</v>
      </c>
      <c r="G48" s="4">
        <v>105.72</v>
      </c>
      <c r="H48" s="4">
        <v>119.24</v>
      </c>
      <c r="I48" s="4">
        <v>135.49</v>
      </c>
    </row>
    <row r="49" spans="1:9" x14ac:dyDescent="0.25">
      <c r="A49" t="s">
        <v>80</v>
      </c>
      <c r="B49" s="4">
        <v>126.64</v>
      </c>
      <c r="C49" s="4">
        <v>106.99</v>
      </c>
      <c r="D49" s="4">
        <v>166.48</v>
      </c>
      <c r="E49" s="4">
        <v>136.1</v>
      </c>
      <c r="F49" s="4">
        <v>154.31</v>
      </c>
      <c r="G49" s="4">
        <v>107.8</v>
      </c>
      <c r="H49" s="4">
        <v>128.69</v>
      </c>
      <c r="I49" s="4">
        <v>145.38999999999999</v>
      </c>
    </row>
    <row r="50" spans="1:9" x14ac:dyDescent="0.25">
      <c r="A50" t="s">
        <v>81</v>
      </c>
      <c r="B50" s="4">
        <v>129.71</v>
      </c>
      <c r="C50" s="4">
        <v>111.76</v>
      </c>
      <c r="D50" s="4">
        <v>152.66999999999999</v>
      </c>
      <c r="E50" s="4">
        <v>135.79</v>
      </c>
      <c r="F50" s="4">
        <v>145.19999999999999</v>
      </c>
      <c r="G50" s="4">
        <v>110.73</v>
      </c>
      <c r="H50" s="4">
        <v>105.37</v>
      </c>
      <c r="I50" s="4">
        <v>160.86000000000001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"/>
  <sheetViews>
    <sheetView workbookViewId="0">
      <pane xSplit="1" ySplit="2" topLeftCell="B30" activePane="bottomRight" state="frozen"/>
      <selection pane="topRight"/>
      <selection pane="bottomLeft"/>
      <selection pane="bottomRight" activeCell="G39" sqref="G39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92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34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t="s">
        <v>84</v>
      </c>
    </row>
    <row r="4" spans="1:9" x14ac:dyDescent="0.25">
      <c r="A4" t="s">
        <v>35</v>
      </c>
      <c r="B4" s="4">
        <v>103.03</v>
      </c>
      <c r="C4" s="4">
        <v>99.64</v>
      </c>
      <c r="D4" s="4">
        <v>106.84</v>
      </c>
      <c r="E4" s="4">
        <v>117.7</v>
      </c>
      <c r="F4" s="4">
        <v>102.75</v>
      </c>
      <c r="G4" s="4">
        <v>106.43</v>
      </c>
      <c r="H4" s="4">
        <v>132.02000000000001</v>
      </c>
      <c r="I4" t="s">
        <v>84</v>
      </c>
    </row>
    <row r="5" spans="1:9" x14ac:dyDescent="0.25">
      <c r="A5" t="s">
        <v>36</v>
      </c>
      <c r="B5" s="4">
        <v>100.14</v>
      </c>
      <c r="C5" s="4">
        <v>99.62</v>
      </c>
      <c r="D5" s="4">
        <v>107.79</v>
      </c>
      <c r="E5" s="4">
        <v>92.85</v>
      </c>
      <c r="F5" s="4">
        <v>107.29</v>
      </c>
      <c r="G5" s="4">
        <v>109.9</v>
      </c>
      <c r="H5" s="4">
        <v>91.01</v>
      </c>
      <c r="I5" t="s">
        <v>84</v>
      </c>
    </row>
    <row r="6" spans="1:9" x14ac:dyDescent="0.25">
      <c r="A6" t="s">
        <v>37</v>
      </c>
      <c r="B6" s="4">
        <v>97.98</v>
      </c>
      <c r="C6" s="4">
        <v>81.59</v>
      </c>
      <c r="D6" s="4">
        <v>101.4</v>
      </c>
      <c r="E6" s="4">
        <v>94.22</v>
      </c>
      <c r="F6" s="4">
        <v>165.64</v>
      </c>
      <c r="G6" s="4">
        <v>135.12</v>
      </c>
      <c r="H6" s="4">
        <v>91.54</v>
      </c>
      <c r="I6" t="s">
        <v>84</v>
      </c>
    </row>
    <row r="7" spans="1:9" x14ac:dyDescent="0.25">
      <c r="A7" t="s">
        <v>38</v>
      </c>
      <c r="B7" s="4">
        <v>102.86</v>
      </c>
      <c r="C7" s="4">
        <v>98.18</v>
      </c>
      <c r="D7" s="4">
        <v>115.15</v>
      </c>
      <c r="E7" s="4">
        <v>112.8</v>
      </c>
      <c r="F7" s="4">
        <v>94.66</v>
      </c>
      <c r="G7" s="4">
        <v>125.75</v>
      </c>
      <c r="H7" s="4">
        <v>108.92</v>
      </c>
      <c r="I7" t="s">
        <v>84</v>
      </c>
    </row>
    <row r="8" spans="1:9" x14ac:dyDescent="0.25">
      <c r="A8" t="s">
        <v>39</v>
      </c>
      <c r="B8" s="4">
        <v>93.03</v>
      </c>
      <c r="C8" s="4">
        <v>96.97</v>
      </c>
      <c r="D8" s="4">
        <v>87.16</v>
      </c>
      <c r="E8" s="4">
        <v>75.87</v>
      </c>
      <c r="F8" s="4">
        <v>104.26</v>
      </c>
      <c r="G8" s="4">
        <v>149.68</v>
      </c>
      <c r="H8" s="4">
        <v>111.44</v>
      </c>
      <c r="I8" t="s">
        <v>84</v>
      </c>
    </row>
    <row r="9" spans="1:9" x14ac:dyDescent="0.25">
      <c r="A9" t="s">
        <v>40</v>
      </c>
      <c r="B9" s="4">
        <v>123.88</v>
      </c>
      <c r="C9" s="4">
        <v>130.38</v>
      </c>
      <c r="D9" s="4">
        <v>105.65</v>
      </c>
      <c r="E9" s="4">
        <v>117.79</v>
      </c>
      <c r="F9" s="4">
        <v>145.22999999999999</v>
      </c>
      <c r="G9" s="4">
        <v>133.1</v>
      </c>
      <c r="H9" s="4">
        <v>82.92</v>
      </c>
      <c r="I9" t="s">
        <v>84</v>
      </c>
    </row>
    <row r="10" spans="1:9" x14ac:dyDescent="0.25">
      <c r="A10" t="s">
        <v>41</v>
      </c>
      <c r="B10" s="4">
        <v>133.72</v>
      </c>
      <c r="C10" s="4">
        <v>143.03</v>
      </c>
      <c r="D10" s="4">
        <v>112.36</v>
      </c>
      <c r="E10" s="4">
        <v>135.06</v>
      </c>
      <c r="F10" s="4">
        <v>163.19999999999999</v>
      </c>
      <c r="G10" s="4">
        <v>202.5</v>
      </c>
      <c r="H10" s="4">
        <v>79.7</v>
      </c>
      <c r="I10" t="s">
        <v>84</v>
      </c>
    </row>
    <row r="11" spans="1:9" x14ac:dyDescent="0.25">
      <c r="A11" t="s">
        <v>42</v>
      </c>
      <c r="B11" s="4">
        <v>151.66999999999999</v>
      </c>
      <c r="C11" s="4">
        <v>176.68</v>
      </c>
      <c r="D11" s="4">
        <v>122.78</v>
      </c>
      <c r="E11" s="4">
        <v>113.69</v>
      </c>
      <c r="F11" s="4">
        <v>198.61</v>
      </c>
      <c r="G11" s="4">
        <v>257.14999999999998</v>
      </c>
      <c r="H11" s="4">
        <v>108.74</v>
      </c>
      <c r="I11" t="s">
        <v>84</v>
      </c>
    </row>
    <row r="12" spans="1:9" x14ac:dyDescent="0.25">
      <c r="A12" t="s">
        <v>43</v>
      </c>
      <c r="B12" s="4">
        <v>138.41999999999999</v>
      </c>
      <c r="C12" s="4">
        <v>152.63</v>
      </c>
      <c r="D12" s="4">
        <v>116.91</v>
      </c>
      <c r="E12" s="4">
        <v>116.59</v>
      </c>
      <c r="F12" s="4">
        <v>202.33</v>
      </c>
      <c r="G12" s="4">
        <v>219.74</v>
      </c>
      <c r="H12" s="4">
        <v>110.93</v>
      </c>
      <c r="I12" t="s">
        <v>84</v>
      </c>
    </row>
    <row r="13" spans="1:9" x14ac:dyDescent="0.25">
      <c r="A13" t="s">
        <v>44</v>
      </c>
      <c r="B13" s="4">
        <v>139.58000000000001</v>
      </c>
      <c r="C13" s="4">
        <v>134.81</v>
      </c>
      <c r="D13" s="4">
        <v>121.07</v>
      </c>
      <c r="E13" s="4">
        <v>114.94</v>
      </c>
      <c r="F13" s="4">
        <v>228.13</v>
      </c>
      <c r="G13" s="4">
        <v>178.52</v>
      </c>
      <c r="H13" s="4">
        <v>101.17</v>
      </c>
      <c r="I13" t="s">
        <v>84</v>
      </c>
    </row>
    <row r="14" spans="1:9" x14ac:dyDescent="0.25">
      <c r="A14" t="s">
        <v>45</v>
      </c>
      <c r="B14" s="4">
        <v>149.37</v>
      </c>
      <c r="C14" s="4">
        <v>163.91</v>
      </c>
      <c r="D14" s="4">
        <v>116.99</v>
      </c>
      <c r="E14" s="4">
        <v>112.2</v>
      </c>
      <c r="F14" s="4">
        <v>107.8</v>
      </c>
      <c r="G14" s="4">
        <v>540.76</v>
      </c>
      <c r="H14" s="4">
        <v>91.43</v>
      </c>
      <c r="I14" t="s">
        <v>84</v>
      </c>
    </row>
    <row r="15" spans="1:9" x14ac:dyDescent="0.25">
      <c r="A15" t="s">
        <v>46</v>
      </c>
      <c r="B15" s="4">
        <v>146.15</v>
      </c>
      <c r="C15" s="4">
        <v>202.83</v>
      </c>
      <c r="D15" s="4">
        <v>108.4</v>
      </c>
      <c r="E15" s="4">
        <v>114.98</v>
      </c>
      <c r="F15" s="4">
        <v>147.44999999999999</v>
      </c>
      <c r="G15" s="4">
        <v>187.43</v>
      </c>
      <c r="H15" s="4">
        <v>121.41</v>
      </c>
      <c r="I15" t="s">
        <v>84</v>
      </c>
    </row>
    <row r="16" spans="1:9" x14ac:dyDescent="0.25">
      <c r="A16" t="s">
        <v>47</v>
      </c>
      <c r="B16" s="4">
        <v>154.21</v>
      </c>
      <c r="C16" s="4">
        <v>173.33</v>
      </c>
      <c r="D16" s="4">
        <v>113.85</v>
      </c>
      <c r="E16" s="4">
        <v>124.15</v>
      </c>
      <c r="F16" s="4">
        <v>183.41</v>
      </c>
      <c r="G16" s="4">
        <v>243.07</v>
      </c>
      <c r="H16" s="4">
        <v>110.07</v>
      </c>
      <c r="I16" t="s">
        <v>84</v>
      </c>
    </row>
    <row r="17" spans="1:9" x14ac:dyDescent="0.25">
      <c r="A17" t="s">
        <v>48</v>
      </c>
      <c r="B17" s="4">
        <v>135.76</v>
      </c>
      <c r="C17" s="4">
        <v>160.91</v>
      </c>
      <c r="D17" s="4">
        <v>100.36</v>
      </c>
      <c r="E17" s="4">
        <v>107.47</v>
      </c>
      <c r="F17" s="4">
        <v>201.11</v>
      </c>
      <c r="G17" s="4">
        <v>192.44</v>
      </c>
      <c r="H17" s="4">
        <v>112.41</v>
      </c>
      <c r="I17" t="s">
        <v>84</v>
      </c>
    </row>
    <row r="18" spans="1:9" x14ac:dyDescent="0.25">
      <c r="A18" t="s">
        <v>49</v>
      </c>
      <c r="B18" s="4">
        <v>141.51</v>
      </c>
      <c r="C18" s="4">
        <v>158.27000000000001</v>
      </c>
      <c r="D18" s="4">
        <v>123.4</v>
      </c>
      <c r="E18" s="4">
        <v>102.24</v>
      </c>
      <c r="F18" s="4">
        <v>177.54</v>
      </c>
      <c r="G18" s="4">
        <v>260.95</v>
      </c>
      <c r="H18" s="4">
        <v>112.93</v>
      </c>
      <c r="I18" t="s">
        <v>84</v>
      </c>
    </row>
    <row r="19" spans="1:9" x14ac:dyDescent="0.25">
      <c r="A19" t="s">
        <v>50</v>
      </c>
      <c r="B19" s="4">
        <v>138.82</v>
      </c>
      <c r="C19" s="4">
        <v>138.51</v>
      </c>
      <c r="D19" s="4">
        <v>105.91</v>
      </c>
      <c r="E19" s="4">
        <v>106.52</v>
      </c>
      <c r="F19" s="4">
        <v>197.06</v>
      </c>
      <c r="G19" s="4">
        <v>202.75</v>
      </c>
      <c r="H19" s="4">
        <v>117.57</v>
      </c>
      <c r="I19" t="s">
        <v>84</v>
      </c>
    </row>
    <row r="20" spans="1:9" x14ac:dyDescent="0.25">
      <c r="A20" t="s">
        <v>51</v>
      </c>
      <c r="B20" s="4">
        <v>131.69999999999999</v>
      </c>
      <c r="C20" s="4">
        <v>117.53</v>
      </c>
      <c r="D20" s="4">
        <v>119.16</v>
      </c>
      <c r="E20" s="4">
        <v>109.73</v>
      </c>
      <c r="F20" s="4">
        <v>144.72</v>
      </c>
      <c r="G20" s="4">
        <v>266.51</v>
      </c>
      <c r="H20" s="4">
        <v>127.52</v>
      </c>
      <c r="I20" t="s">
        <v>84</v>
      </c>
    </row>
    <row r="21" spans="1:9" x14ac:dyDescent="0.25">
      <c r="A21" t="s">
        <v>52</v>
      </c>
      <c r="B21" s="4">
        <v>140.56</v>
      </c>
      <c r="C21" s="4">
        <v>136.97</v>
      </c>
      <c r="D21" s="4">
        <v>129.53</v>
      </c>
      <c r="E21" s="4">
        <v>117.13</v>
      </c>
      <c r="F21" s="4">
        <v>193.62</v>
      </c>
      <c r="G21" s="4">
        <v>222.5</v>
      </c>
      <c r="H21" s="4">
        <v>138.62</v>
      </c>
      <c r="I21" t="s">
        <v>84</v>
      </c>
    </row>
    <row r="22" spans="1:9" x14ac:dyDescent="0.25">
      <c r="A22" t="s">
        <v>53</v>
      </c>
      <c r="B22" s="4">
        <v>143.97</v>
      </c>
      <c r="C22" s="4">
        <v>132.12</v>
      </c>
      <c r="D22" s="4">
        <v>140.33000000000001</v>
      </c>
      <c r="E22" s="4">
        <v>140.06</v>
      </c>
      <c r="F22" s="4">
        <v>180.56</v>
      </c>
      <c r="G22" s="4">
        <v>233.67</v>
      </c>
      <c r="H22" s="4">
        <v>131.5</v>
      </c>
      <c r="I22" t="s">
        <v>84</v>
      </c>
    </row>
    <row r="23" spans="1:9" x14ac:dyDescent="0.25">
      <c r="A23" t="s">
        <v>54</v>
      </c>
      <c r="B23" s="4">
        <v>123.4</v>
      </c>
      <c r="C23" s="4">
        <v>108.96</v>
      </c>
      <c r="D23" s="4">
        <v>112.38</v>
      </c>
      <c r="E23" s="4">
        <v>137.06</v>
      </c>
      <c r="F23" s="4">
        <v>180.23</v>
      </c>
      <c r="G23" s="4">
        <v>200.17</v>
      </c>
      <c r="H23" s="4">
        <v>115.78</v>
      </c>
      <c r="I23" t="s">
        <v>84</v>
      </c>
    </row>
    <row r="24" spans="1:9" x14ac:dyDescent="0.25">
      <c r="A24" t="s">
        <v>55</v>
      </c>
      <c r="B24" s="4">
        <v>133.30000000000001</v>
      </c>
      <c r="C24" s="4">
        <v>138.57</v>
      </c>
      <c r="D24" s="4">
        <v>132.37</v>
      </c>
      <c r="E24" s="4">
        <v>131.24</v>
      </c>
      <c r="F24" s="4">
        <v>193.24</v>
      </c>
      <c r="G24" s="4">
        <v>144.52000000000001</v>
      </c>
      <c r="H24" s="4">
        <v>111.01</v>
      </c>
      <c r="I24" t="s">
        <v>84</v>
      </c>
    </row>
    <row r="25" spans="1:9" x14ac:dyDescent="0.25">
      <c r="A25" t="s">
        <v>56</v>
      </c>
      <c r="B25" s="4">
        <v>127.45</v>
      </c>
      <c r="C25" s="4">
        <v>132.91999999999999</v>
      </c>
      <c r="D25" s="4">
        <v>131.09</v>
      </c>
      <c r="E25" s="4">
        <v>133.49</v>
      </c>
      <c r="F25" s="4">
        <v>130.69</v>
      </c>
      <c r="G25" s="4">
        <v>190.23</v>
      </c>
      <c r="H25" s="4">
        <v>114.82</v>
      </c>
      <c r="I25" t="s">
        <v>84</v>
      </c>
    </row>
    <row r="26" spans="1:9" x14ac:dyDescent="0.25">
      <c r="A26" t="s">
        <v>57</v>
      </c>
      <c r="B26" s="4">
        <v>126.8</v>
      </c>
      <c r="C26" s="4">
        <v>118.74</v>
      </c>
      <c r="D26" s="4">
        <v>147.61000000000001</v>
      </c>
      <c r="E26" s="4">
        <v>138.31</v>
      </c>
      <c r="F26" s="4">
        <v>157.78</v>
      </c>
      <c r="G26" s="4">
        <v>148.41</v>
      </c>
      <c r="H26" s="4">
        <v>108.89</v>
      </c>
      <c r="I26" t="s">
        <v>84</v>
      </c>
    </row>
    <row r="27" spans="1:9" x14ac:dyDescent="0.25">
      <c r="A27" t="s">
        <v>58</v>
      </c>
      <c r="B27" s="4">
        <v>123.89</v>
      </c>
      <c r="C27" s="4">
        <v>108.19</v>
      </c>
      <c r="D27" s="4">
        <v>127.49</v>
      </c>
      <c r="E27" s="4">
        <v>113.26</v>
      </c>
      <c r="F27" s="4">
        <v>156.36000000000001</v>
      </c>
      <c r="G27" s="4">
        <v>192.01</v>
      </c>
      <c r="H27" s="4">
        <v>111.24</v>
      </c>
      <c r="I27" t="s">
        <v>84</v>
      </c>
    </row>
    <row r="28" spans="1:9" x14ac:dyDescent="0.25">
      <c r="A28" t="s">
        <v>59</v>
      </c>
      <c r="B28" s="4">
        <v>107.73</v>
      </c>
      <c r="C28" s="4">
        <v>112.82</v>
      </c>
      <c r="D28" s="4">
        <v>133.03</v>
      </c>
      <c r="E28" s="4">
        <v>89.81</v>
      </c>
      <c r="F28" s="4">
        <v>198.28</v>
      </c>
      <c r="G28" s="4">
        <v>128.1</v>
      </c>
      <c r="H28" s="4">
        <v>122.41</v>
      </c>
      <c r="I28" t="s">
        <v>84</v>
      </c>
    </row>
    <row r="29" spans="1:9" x14ac:dyDescent="0.25">
      <c r="A29" t="s">
        <v>60</v>
      </c>
      <c r="B29" s="4">
        <v>136.78</v>
      </c>
      <c r="C29" s="4">
        <v>120.71</v>
      </c>
      <c r="D29" s="4">
        <v>142.96</v>
      </c>
      <c r="E29" s="4">
        <v>91.28</v>
      </c>
      <c r="F29" s="4">
        <v>183.33</v>
      </c>
      <c r="G29" s="4">
        <v>243.74</v>
      </c>
      <c r="H29" s="4">
        <v>126.1</v>
      </c>
      <c r="I29" t="s">
        <v>84</v>
      </c>
    </row>
    <row r="30" spans="1:9" x14ac:dyDescent="0.25">
      <c r="A30" t="s">
        <v>61</v>
      </c>
      <c r="B30" s="4">
        <v>134.44999999999999</v>
      </c>
      <c r="C30" s="4">
        <v>139.82</v>
      </c>
      <c r="D30" s="4">
        <v>140.21</v>
      </c>
      <c r="E30" s="4">
        <v>118.67</v>
      </c>
      <c r="F30" s="4">
        <v>148.62</v>
      </c>
      <c r="G30" s="4">
        <v>177.4</v>
      </c>
      <c r="H30" s="4">
        <v>123.25</v>
      </c>
      <c r="I30" t="s">
        <v>84</v>
      </c>
    </row>
    <row r="31" spans="1:9" x14ac:dyDescent="0.25">
      <c r="A31" t="s">
        <v>62</v>
      </c>
      <c r="B31" s="4">
        <v>139.12</v>
      </c>
      <c r="C31" s="4">
        <v>122.9</v>
      </c>
      <c r="D31" s="4">
        <v>151.11000000000001</v>
      </c>
      <c r="E31" s="4">
        <v>88.82</v>
      </c>
      <c r="F31" s="4">
        <v>163.55000000000001</v>
      </c>
      <c r="G31" s="4">
        <v>554.83000000000004</v>
      </c>
      <c r="H31" s="4">
        <v>137.84</v>
      </c>
      <c r="I31" t="s">
        <v>84</v>
      </c>
    </row>
    <row r="32" spans="1:9" x14ac:dyDescent="0.25">
      <c r="A32" t="s">
        <v>63</v>
      </c>
      <c r="B32" s="4">
        <v>134.44</v>
      </c>
      <c r="C32" s="4">
        <v>108.37</v>
      </c>
      <c r="D32" s="4">
        <v>141.63</v>
      </c>
      <c r="E32" s="4">
        <v>108.56</v>
      </c>
      <c r="F32" s="4">
        <v>216.04</v>
      </c>
      <c r="G32" s="4">
        <v>222.1</v>
      </c>
      <c r="H32" s="4">
        <v>124</v>
      </c>
      <c r="I32" t="s">
        <v>84</v>
      </c>
    </row>
    <row r="33" spans="1:9" x14ac:dyDescent="0.25">
      <c r="A33" t="s">
        <v>64</v>
      </c>
      <c r="B33" s="4">
        <v>143.27000000000001</v>
      </c>
      <c r="C33" s="4">
        <v>113.47</v>
      </c>
      <c r="D33" s="4">
        <v>154.31</v>
      </c>
      <c r="E33" s="4">
        <v>119.23</v>
      </c>
      <c r="F33" s="4">
        <v>185.65</v>
      </c>
      <c r="G33" s="4">
        <v>225.27</v>
      </c>
      <c r="H33" s="4">
        <v>118.04</v>
      </c>
      <c r="I33" t="s">
        <v>84</v>
      </c>
    </row>
    <row r="34" spans="1:9" x14ac:dyDescent="0.25">
      <c r="A34" t="s">
        <v>65</v>
      </c>
      <c r="B34" s="4">
        <v>150.44999999999999</v>
      </c>
      <c r="C34" s="4">
        <v>132.43</v>
      </c>
      <c r="D34" s="4">
        <v>137.76</v>
      </c>
      <c r="E34" s="4">
        <v>156.34</v>
      </c>
      <c r="F34" s="4">
        <v>200.47</v>
      </c>
      <c r="G34" s="4">
        <v>216.77</v>
      </c>
      <c r="H34" s="4">
        <v>103.65</v>
      </c>
      <c r="I34" t="s">
        <v>84</v>
      </c>
    </row>
    <row r="35" spans="1:9" x14ac:dyDescent="0.25">
      <c r="A35" t="s">
        <v>66</v>
      </c>
      <c r="B35" s="4">
        <v>134.15</v>
      </c>
      <c r="C35" s="4">
        <v>113.65</v>
      </c>
      <c r="D35" s="4">
        <v>137.12</v>
      </c>
      <c r="E35" s="4">
        <v>132.91999999999999</v>
      </c>
      <c r="F35" s="4">
        <v>207.74</v>
      </c>
      <c r="G35" s="4">
        <v>202.16</v>
      </c>
      <c r="H35" s="4">
        <v>129.30000000000001</v>
      </c>
      <c r="I35" t="s">
        <v>84</v>
      </c>
    </row>
    <row r="36" spans="1:9" x14ac:dyDescent="0.25">
      <c r="A36" t="s">
        <v>67</v>
      </c>
      <c r="B36" s="4">
        <v>131.75</v>
      </c>
      <c r="C36" s="4">
        <v>127.07</v>
      </c>
      <c r="D36" s="4">
        <v>153.44999999999999</v>
      </c>
      <c r="E36" s="4">
        <v>155.15</v>
      </c>
      <c r="F36" s="4">
        <v>144.54</v>
      </c>
      <c r="G36" s="4">
        <v>147.5</v>
      </c>
      <c r="H36" s="4">
        <v>134.38999999999999</v>
      </c>
      <c r="I36" t="s">
        <v>84</v>
      </c>
    </row>
    <row r="37" spans="1:9" x14ac:dyDescent="0.25">
      <c r="A37" t="s">
        <v>68</v>
      </c>
      <c r="B37" s="4">
        <v>156.37</v>
      </c>
      <c r="C37" s="4">
        <v>130.99</v>
      </c>
      <c r="D37" s="4">
        <v>159.94999999999999</v>
      </c>
      <c r="E37" s="4">
        <v>122.75</v>
      </c>
      <c r="F37" s="4">
        <v>138.59</v>
      </c>
      <c r="G37" s="4">
        <v>330.07</v>
      </c>
      <c r="H37" s="4">
        <v>132.56</v>
      </c>
      <c r="I37" t="s">
        <v>84</v>
      </c>
    </row>
    <row r="38" spans="1:9" x14ac:dyDescent="0.25">
      <c r="A38" t="s">
        <v>69</v>
      </c>
      <c r="B38" s="4">
        <v>144.76</v>
      </c>
      <c r="C38" s="4">
        <v>120.92</v>
      </c>
      <c r="D38" s="4">
        <v>134.88999999999999</v>
      </c>
      <c r="E38" s="4">
        <v>142.21</v>
      </c>
      <c r="F38" s="4">
        <v>101.64</v>
      </c>
      <c r="G38" s="4">
        <v>351.96</v>
      </c>
      <c r="H38" s="4">
        <v>132.74</v>
      </c>
      <c r="I38" t="s">
        <v>84</v>
      </c>
    </row>
    <row r="39" spans="1:9" x14ac:dyDescent="0.25">
      <c r="A39" t="s">
        <v>70</v>
      </c>
      <c r="B39" s="4">
        <v>132.83000000000001</v>
      </c>
      <c r="C39" s="4">
        <v>118.98</v>
      </c>
      <c r="D39" s="4">
        <v>120.07</v>
      </c>
      <c r="E39" s="4">
        <v>88.38</v>
      </c>
      <c r="F39" s="4">
        <v>115.63</v>
      </c>
      <c r="G39" s="4">
        <v>235.15</v>
      </c>
      <c r="H39" s="4">
        <v>129.55000000000001</v>
      </c>
      <c r="I39" t="s">
        <v>84</v>
      </c>
    </row>
    <row r="40" spans="1:9" x14ac:dyDescent="0.25">
      <c r="A40" t="s">
        <v>71</v>
      </c>
      <c r="B40" s="4">
        <v>150.91</v>
      </c>
      <c r="C40" s="4">
        <v>118.66</v>
      </c>
      <c r="D40" s="4">
        <v>130.16</v>
      </c>
      <c r="E40" s="4">
        <v>86.92</v>
      </c>
      <c r="F40" s="4">
        <v>110.45</v>
      </c>
      <c r="G40" s="4">
        <v>714.24</v>
      </c>
      <c r="H40" s="4">
        <v>108.81</v>
      </c>
      <c r="I40" t="s">
        <v>84</v>
      </c>
    </row>
    <row r="41" spans="1:9" x14ac:dyDescent="0.25">
      <c r="A41" t="s">
        <v>72</v>
      </c>
      <c r="B41" s="4">
        <v>167.38</v>
      </c>
      <c r="C41" s="4">
        <v>127.02</v>
      </c>
      <c r="D41" s="4">
        <v>126.65</v>
      </c>
      <c r="E41" s="4">
        <v>93.39</v>
      </c>
      <c r="F41" s="4">
        <v>228.09</v>
      </c>
      <c r="G41" s="4">
        <v>581.54</v>
      </c>
      <c r="H41" s="4">
        <v>98.52</v>
      </c>
      <c r="I41" t="s">
        <v>84</v>
      </c>
    </row>
    <row r="42" spans="1:9" x14ac:dyDescent="0.25">
      <c r="A42" t="s">
        <v>73</v>
      </c>
      <c r="B42" s="4">
        <v>166.88</v>
      </c>
      <c r="C42" s="4">
        <v>119.77</v>
      </c>
      <c r="D42" s="4">
        <v>136.27000000000001</v>
      </c>
      <c r="E42" s="4">
        <v>125.65</v>
      </c>
      <c r="F42" s="4">
        <v>241.55</v>
      </c>
      <c r="G42" s="4">
        <v>659.39</v>
      </c>
      <c r="H42" s="4">
        <v>109.43</v>
      </c>
      <c r="I42" t="s">
        <v>84</v>
      </c>
    </row>
    <row r="43" spans="1:9" x14ac:dyDescent="0.25">
      <c r="A43" t="s">
        <v>74</v>
      </c>
      <c r="B43" s="4">
        <v>170.63</v>
      </c>
      <c r="C43" s="4">
        <v>130.31</v>
      </c>
      <c r="D43" s="4">
        <v>119.31</v>
      </c>
      <c r="E43" s="4">
        <v>113.71</v>
      </c>
      <c r="F43" s="4">
        <v>227.29</v>
      </c>
      <c r="G43" s="4">
        <v>525.66999999999996</v>
      </c>
      <c r="H43" s="4">
        <v>112.05</v>
      </c>
      <c r="I43" t="s">
        <v>84</v>
      </c>
    </row>
    <row r="44" spans="1:9" x14ac:dyDescent="0.25">
      <c r="A44" t="s">
        <v>75</v>
      </c>
      <c r="B44" s="4">
        <v>136.81</v>
      </c>
      <c r="C44" s="4">
        <v>99.28</v>
      </c>
      <c r="D44" s="4">
        <v>131.21</v>
      </c>
      <c r="E44" s="4">
        <v>71.95</v>
      </c>
      <c r="F44" s="4">
        <v>214.95</v>
      </c>
      <c r="G44" s="4">
        <v>437.25</v>
      </c>
      <c r="H44" s="4">
        <v>101.51</v>
      </c>
      <c r="I44" t="s">
        <v>84</v>
      </c>
    </row>
    <row r="45" spans="1:9" x14ac:dyDescent="0.25">
      <c r="A45" t="s">
        <v>76</v>
      </c>
      <c r="B45" s="4">
        <v>118.92</v>
      </c>
      <c r="C45" s="4">
        <v>77.510000000000005</v>
      </c>
      <c r="D45" s="4">
        <v>106.66</v>
      </c>
      <c r="E45" s="4">
        <v>84.54</v>
      </c>
      <c r="F45" s="4">
        <v>198.09</v>
      </c>
      <c r="G45" s="4">
        <v>398.8</v>
      </c>
      <c r="H45" s="4">
        <v>121.39</v>
      </c>
      <c r="I45" t="s">
        <v>84</v>
      </c>
    </row>
    <row r="46" spans="1:9" x14ac:dyDescent="0.25">
      <c r="A46" t="s">
        <v>77</v>
      </c>
      <c r="B46" s="4">
        <v>157.01</v>
      </c>
      <c r="C46" s="4">
        <v>116.53</v>
      </c>
      <c r="D46" s="4">
        <v>132.97999999999999</v>
      </c>
      <c r="E46" s="4">
        <v>101.31</v>
      </c>
      <c r="F46" s="4">
        <v>206.83</v>
      </c>
      <c r="G46" s="4">
        <v>354.98</v>
      </c>
      <c r="H46" s="4">
        <v>108.42</v>
      </c>
      <c r="I46" t="s">
        <v>84</v>
      </c>
    </row>
    <row r="47" spans="1:9" x14ac:dyDescent="0.25">
      <c r="A47" t="s">
        <v>78</v>
      </c>
      <c r="B47" s="4">
        <v>130.52000000000001</v>
      </c>
      <c r="C47" s="4">
        <v>113.29</v>
      </c>
      <c r="D47" s="4">
        <v>139.19999999999999</v>
      </c>
      <c r="E47" s="4">
        <v>116.98</v>
      </c>
      <c r="F47" s="4">
        <v>76.59</v>
      </c>
      <c r="G47" s="4">
        <v>509.76</v>
      </c>
      <c r="H47" s="4">
        <v>110.44</v>
      </c>
      <c r="I47" t="s">
        <v>84</v>
      </c>
    </row>
    <row r="48" spans="1:9" x14ac:dyDescent="0.25">
      <c r="A48" t="s">
        <v>79</v>
      </c>
      <c r="B48" s="4">
        <v>163.11000000000001</v>
      </c>
      <c r="C48" s="4">
        <v>123.1</v>
      </c>
      <c r="D48" s="4">
        <v>118.49</v>
      </c>
      <c r="E48" s="4">
        <v>146.28</v>
      </c>
      <c r="F48" s="4">
        <v>220.93</v>
      </c>
      <c r="G48" s="4">
        <v>753.57</v>
      </c>
      <c r="H48" s="4">
        <v>107.74</v>
      </c>
      <c r="I48" t="s">
        <v>84</v>
      </c>
    </row>
    <row r="49" spans="1:9" x14ac:dyDescent="0.25">
      <c r="A49" t="s">
        <v>80</v>
      </c>
      <c r="B49" s="4">
        <v>143.03</v>
      </c>
      <c r="C49" s="4">
        <v>106.85</v>
      </c>
      <c r="D49" s="4">
        <v>133.19</v>
      </c>
      <c r="E49" s="4">
        <v>118.82</v>
      </c>
      <c r="F49" s="4">
        <v>208.44</v>
      </c>
      <c r="G49" s="4">
        <v>465.02</v>
      </c>
      <c r="H49" s="4">
        <v>117.29</v>
      </c>
      <c r="I49" t="s">
        <v>84</v>
      </c>
    </row>
    <row r="50" spans="1:9" x14ac:dyDescent="0.25">
      <c r="A50" t="s">
        <v>81</v>
      </c>
      <c r="B50" s="4">
        <v>132.49</v>
      </c>
      <c r="C50" s="4">
        <v>112.45</v>
      </c>
      <c r="D50" s="4">
        <v>130.22</v>
      </c>
      <c r="E50" s="4">
        <v>113.54</v>
      </c>
      <c r="F50" s="4">
        <v>73.44</v>
      </c>
      <c r="G50" s="4">
        <v>646.4</v>
      </c>
      <c r="H50" s="4">
        <v>117.91</v>
      </c>
      <c r="I50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/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94</v>
      </c>
    </row>
    <row r="2" spans="1:9" x14ac:dyDescent="0.25">
      <c r="A2" t="s">
        <v>95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96</v>
      </c>
      <c r="B3" t="s">
        <v>97</v>
      </c>
      <c r="C3" t="s">
        <v>98</v>
      </c>
      <c r="D3" t="s">
        <v>99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</row>
    <row r="4" spans="1:9" x14ac:dyDescent="0.25">
      <c r="A4" t="s">
        <v>103</v>
      </c>
      <c r="B4" t="s">
        <v>104</v>
      </c>
      <c r="C4" t="s">
        <v>105</v>
      </c>
      <c r="D4" t="s">
        <v>106</v>
      </c>
      <c r="E4" t="s">
        <v>99</v>
      </c>
      <c r="F4" t="s">
        <v>107</v>
      </c>
      <c r="G4" t="s">
        <v>102</v>
      </c>
      <c r="H4" t="s">
        <v>84</v>
      </c>
      <c r="I4" t="s">
        <v>84</v>
      </c>
    </row>
    <row r="5" spans="1:9" x14ac:dyDescent="0.25">
      <c r="A5" t="s">
        <v>108</v>
      </c>
      <c r="B5" t="s">
        <v>109</v>
      </c>
      <c r="C5" t="s">
        <v>98</v>
      </c>
      <c r="D5" t="s">
        <v>105</v>
      </c>
      <c r="E5" t="s">
        <v>110</v>
      </c>
      <c r="F5" t="s">
        <v>98</v>
      </c>
      <c r="G5" t="s">
        <v>97</v>
      </c>
      <c r="H5" t="s">
        <v>84</v>
      </c>
      <c r="I5" t="s">
        <v>84</v>
      </c>
    </row>
    <row r="6" spans="1:9" x14ac:dyDescent="0.25">
      <c r="A6" t="s">
        <v>111</v>
      </c>
      <c r="B6" t="s">
        <v>101</v>
      </c>
      <c r="C6" t="s">
        <v>112</v>
      </c>
      <c r="D6" t="s">
        <v>113</v>
      </c>
      <c r="E6" t="s">
        <v>101</v>
      </c>
      <c r="F6" t="s">
        <v>114</v>
      </c>
      <c r="G6" t="s">
        <v>115</v>
      </c>
      <c r="H6" t="s">
        <v>116</v>
      </c>
      <c r="I6" t="s">
        <v>84</v>
      </c>
    </row>
    <row r="7" spans="1:9" x14ac:dyDescent="0.25">
      <c r="A7" t="s">
        <v>117</v>
      </c>
      <c r="B7" t="s">
        <v>118</v>
      </c>
      <c r="C7" t="s">
        <v>114</v>
      </c>
      <c r="D7" t="s">
        <v>118</v>
      </c>
      <c r="E7" t="s">
        <v>118</v>
      </c>
      <c r="F7" t="s">
        <v>118</v>
      </c>
      <c r="G7" t="s">
        <v>101</v>
      </c>
      <c r="H7" t="s">
        <v>109</v>
      </c>
      <c r="I7" t="s">
        <v>102</v>
      </c>
    </row>
    <row r="8" spans="1:9" x14ac:dyDescent="0.25">
      <c r="A8" t="s">
        <v>119</v>
      </c>
      <c r="B8" t="s">
        <v>118</v>
      </c>
      <c r="C8" t="s">
        <v>120</v>
      </c>
      <c r="D8" t="s">
        <v>118</v>
      </c>
      <c r="E8" t="s">
        <v>116</v>
      </c>
      <c r="F8" t="s">
        <v>101</v>
      </c>
      <c r="G8" t="s">
        <v>121</v>
      </c>
      <c r="H8" t="s">
        <v>114</v>
      </c>
      <c r="I8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/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123</v>
      </c>
    </row>
    <row r="2" spans="1:9" x14ac:dyDescent="0.25">
      <c r="A2" t="s">
        <v>95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96</v>
      </c>
      <c r="B3" t="s">
        <v>124</v>
      </c>
      <c r="C3" t="s">
        <v>125</v>
      </c>
      <c r="D3" t="s">
        <v>126</v>
      </c>
      <c r="E3" t="s">
        <v>124</v>
      </c>
      <c r="F3" t="s">
        <v>127</v>
      </c>
      <c r="G3" t="s">
        <v>120</v>
      </c>
      <c r="H3" t="s">
        <v>128</v>
      </c>
      <c r="I3" t="s">
        <v>101</v>
      </c>
    </row>
    <row r="4" spans="1:9" x14ac:dyDescent="0.25">
      <c r="A4" t="s">
        <v>103</v>
      </c>
      <c r="B4" t="s">
        <v>100</v>
      </c>
      <c r="C4" t="s">
        <v>129</v>
      </c>
      <c r="D4" t="s">
        <v>97</v>
      </c>
      <c r="E4" t="s">
        <v>124</v>
      </c>
      <c r="F4" t="s">
        <v>105</v>
      </c>
      <c r="G4" t="s">
        <v>115</v>
      </c>
      <c r="H4" t="s">
        <v>84</v>
      </c>
      <c r="I4" t="s">
        <v>84</v>
      </c>
    </row>
    <row r="5" spans="1:9" x14ac:dyDescent="0.25">
      <c r="A5" t="s">
        <v>108</v>
      </c>
      <c r="B5" t="s">
        <v>130</v>
      </c>
      <c r="C5" t="s">
        <v>131</v>
      </c>
      <c r="D5" t="s">
        <v>132</v>
      </c>
      <c r="E5" t="s">
        <v>130</v>
      </c>
      <c r="F5" t="s">
        <v>133</v>
      </c>
      <c r="G5" t="s">
        <v>134</v>
      </c>
      <c r="H5" t="s">
        <v>84</v>
      </c>
      <c r="I5" t="s">
        <v>84</v>
      </c>
    </row>
    <row r="6" spans="1:9" x14ac:dyDescent="0.25">
      <c r="A6" t="s">
        <v>111</v>
      </c>
      <c r="B6" t="s">
        <v>135</v>
      </c>
      <c r="C6" t="s">
        <v>131</v>
      </c>
      <c r="D6" t="s">
        <v>136</v>
      </c>
      <c r="E6" t="s">
        <v>137</v>
      </c>
      <c r="F6" t="s">
        <v>138</v>
      </c>
      <c r="G6" t="s">
        <v>139</v>
      </c>
      <c r="H6" t="s">
        <v>140</v>
      </c>
      <c r="I6" t="s">
        <v>84</v>
      </c>
    </row>
    <row r="7" spans="1:9" x14ac:dyDescent="0.25">
      <c r="A7" t="s">
        <v>117</v>
      </c>
      <c r="B7" t="s">
        <v>114</v>
      </c>
      <c r="C7" t="s">
        <v>141</v>
      </c>
      <c r="D7" t="s">
        <v>120</v>
      </c>
      <c r="E7" t="s">
        <v>114</v>
      </c>
      <c r="F7" t="s">
        <v>105</v>
      </c>
      <c r="G7" t="s">
        <v>97</v>
      </c>
      <c r="H7" t="s">
        <v>120</v>
      </c>
      <c r="I7" t="s">
        <v>101</v>
      </c>
    </row>
    <row r="8" spans="1:9" x14ac:dyDescent="0.25">
      <c r="A8" t="s">
        <v>119</v>
      </c>
      <c r="B8" t="s">
        <v>142</v>
      </c>
      <c r="C8" t="s">
        <v>143</v>
      </c>
      <c r="D8" t="s">
        <v>144</v>
      </c>
      <c r="E8" t="s">
        <v>145</v>
      </c>
      <c r="F8" t="s">
        <v>146</v>
      </c>
      <c r="G8" t="s">
        <v>147</v>
      </c>
      <c r="H8" t="s">
        <v>148</v>
      </c>
      <c r="I8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8"/>
  <sheetViews>
    <sheetView workbookViewId="0"/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150</v>
      </c>
    </row>
    <row r="2" spans="1:9" x14ac:dyDescent="0.25">
      <c r="A2" t="s">
        <v>95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96</v>
      </c>
      <c r="B3" t="s">
        <v>101</v>
      </c>
      <c r="C3" t="s">
        <v>127</v>
      </c>
      <c r="D3" t="s">
        <v>101</v>
      </c>
      <c r="E3" t="s">
        <v>113</v>
      </c>
      <c r="F3" t="s">
        <v>97</v>
      </c>
      <c r="G3" t="s">
        <v>99</v>
      </c>
      <c r="H3" t="s">
        <v>151</v>
      </c>
      <c r="I3" t="s">
        <v>106</v>
      </c>
    </row>
    <row r="4" spans="1:9" x14ac:dyDescent="0.25">
      <c r="A4" t="s">
        <v>103</v>
      </c>
      <c r="B4" t="s">
        <v>121</v>
      </c>
      <c r="C4" t="s">
        <v>152</v>
      </c>
      <c r="D4" t="s">
        <v>153</v>
      </c>
      <c r="E4" t="s">
        <v>118</v>
      </c>
      <c r="F4" t="s">
        <v>154</v>
      </c>
      <c r="G4" t="s">
        <v>155</v>
      </c>
      <c r="H4" t="s">
        <v>84</v>
      </c>
      <c r="I4" t="s">
        <v>84</v>
      </c>
    </row>
    <row r="5" spans="1:9" x14ac:dyDescent="0.25">
      <c r="A5" t="s">
        <v>108</v>
      </c>
      <c r="B5" t="s">
        <v>125</v>
      </c>
      <c r="C5" t="s">
        <v>156</v>
      </c>
      <c r="D5" t="s">
        <v>141</v>
      </c>
      <c r="E5" t="s">
        <v>132</v>
      </c>
      <c r="F5" t="s">
        <v>126</v>
      </c>
      <c r="G5" t="s">
        <v>130</v>
      </c>
      <c r="H5" t="s">
        <v>84</v>
      </c>
      <c r="I5" t="s">
        <v>84</v>
      </c>
    </row>
    <row r="6" spans="1:9" x14ac:dyDescent="0.25">
      <c r="A6" t="s">
        <v>111</v>
      </c>
      <c r="B6" t="s">
        <v>128</v>
      </c>
      <c r="C6" t="s">
        <v>157</v>
      </c>
      <c r="D6" t="s">
        <v>151</v>
      </c>
      <c r="E6" t="s">
        <v>158</v>
      </c>
      <c r="F6" t="s">
        <v>125</v>
      </c>
      <c r="G6" t="s">
        <v>133</v>
      </c>
      <c r="H6" t="s">
        <v>140</v>
      </c>
      <c r="I6" t="s">
        <v>84</v>
      </c>
    </row>
    <row r="7" spans="1:9" x14ac:dyDescent="0.25">
      <c r="A7" t="s">
        <v>117</v>
      </c>
      <c r="B7" t="s">
        <v>110</v>
      </c>
      <c r="C7" t="s">
        <v>109</v>
      </c>
      <c r="D7" t="s">
        <v>101</v>
      </c>
      <c r="E7" t="s">
        <v>110</v>
      </c>
      <c r="F7" t="s">
        <v>106</v>
      </c>
      <c r="G7" t="s">
        <v>100</v>
      </c>
      <c r="H7" t="s">
        <v>118</v>
      </c>
      <c r="I7" t="s">
        <v>106</v>
      </c>
    </row>
    <row r="8" spans="1:9" x14ac:dyDescent="0.25">
      <c r="A8" t="s">
        <v>119</v>
      </c>
      <c r="B8" t="s">
        <v>128</v>
      </c>
      <c r="C8" t="s">
        <v>136</v>
      </c>
      <c r="D8" t="s">
        <v>159</v>
      </c>
      <c r="E8" t="s">
        <v>139</v>
      </c>
      <c r="F8" t="s">
        <v>127</v>
      </c>
      <c r="G8" t="s">
        <v>160</v>
      </c>
      <c r="H8" t="s">
        <v>142</v>
      </c>
      <c r="I8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/>
  </sheetViews>
  <sheetFormatPr defaultColWidth="11" defaultRowHeight="15" x14ac:dyDescent="0.25"/>
  <cols>
    <col min="1" max="1" width="16.7109375" customWidth="1"/>
    <col min="2" max="6" width="15.7109375" customWidth="1"/>
  </cols>
  <sheetData>
    <row r="1" spans="1:6" x14ac:dyDescent="0.25">
      <c r="A1" s="1" t="s">
        <v>162</v>
      </c>
    </row>
    <row r="2" spans="1:6" x14ac:dyDescent="0.25">
      <c r="A2" t="s">
        <v>95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</row>
    <row r="3" spans="1:6" x14ac:dyDescent="0.25">
      <c r="A3" t="s">
        <v>96</v>
      </c>
      <c r="B3" t="s">
        <v>138</v>
      </c>
      <c r="C3" t="s">
        <v>168</v>
      </c>
      <c r="D3" t="s">
        <v>132</v>
      </c>
      <c r="E3" t="s">
        <v>169</v>
      </c>
      <c r="F3" t="s">
        <v>113</v>
      </c>
    </row>
    <row r="4" spans="1:6" x14ac:dyDescent="0.25">
      <c r="A4" t="s">
        <v>103</v>
      </c>
      <c r="B4" t="s">
        <v>113</v>
      </c>
      <c r="C4" t="s">
        <v>125</v>
      </c>
      <c r="D4" t="s">
        <v>129</v>
      </c>
      <c r="E4" t="s">
        <v>170</v>
      </c>
      <c r="F4" t="s">
        <v>106</v>
      </c>
    </row>
    <row r="5" spans="1:6" x14ac:dyDescent="0.25">
      <c r="A5" t="s">
        <v>108</v>
      </c>
      <c r="B5" t="s">
        <v>148</v>
      </c>
      <c r="C5" t="s">
        <v>171</v>
      </c>
      <c r="D5" t="s">
        <v>143</v>
      </c>
      <c r="E5" t="s">
        <v>114</v>
      </c>
      <c r="F5" t="s">
        <v>156</v>
      </c>
    </row>
    <row r="6" spans="1:6" x14ac:dyDescent="0.25">
      <c r="A6" t="s">
        <v>111</v>
      </c>
      <c r="B6" t="s">
        <v>172</v>
      </c>
      <c r="C6" t="s">
        <v>159</v>
      </c>
      <c r="D6" t="s">
        <v>142</v>
      </c>
      <c r="E6" t="s">
        <v>112</v>
      </c>
      <c r="F6" t="s">
        <v>133</v>
      </c>
    </row>
    <row r="7" spans="1:6" x14ac:dyDescent="0.25">
      <c r="A7" t="s">
        <v>117</v>
      </c>
      <c r="B7" t="s">
        <v>114</v>
      </c>
      <c r="C7" t="s">
        <v>126</v>
      </c>
      <c r="D7" t="s">
        <v>127</v>
      </c>
      <c r="E7" t="s">
        <v>104</v>
      </c>
      <c r="F7" t="s">
        <v>109</v>
      </c>
    </row>
    <row r="8" spans="1:6" x14ac:dyDescent="0.25">
      <c r="A8" t="s">
        <v>119</v>
      </c>
      <c r="B8" t="s">
        <v>134</v>
      </c>
      <c r="C8" t="s">
        <v>140</v>
      </c>
      <c r="D8" t="s">
        <v>144</v>
      </c>
      <c r="E8" t="s">
        <v>173</v>
      </c>
      <c r="F8" t="s">
        <v>151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0"/>
  <sheetViews>
    <sheetView workbookViewId="0">
      <pane xSplit="1" ySplit="2" topLeftCell="B3" activePane="bottomRight" state="frozen"/>
      <selection pane="topRight"/>
      <selection pane="bottomLeft"/>
      <selection pane="bottomRight" activeCell="G22" sqref="G22"/>
    </sheetView>
  </sheetViews>
  <sheetFormatPr defaultColWidth="11" defaultRowHeight="15" x14ac:dyDescent="0.25"/>
  <cols>
    <col min="1" max="1" width="16.7109375" customWidth="1"/>
    <col min="2" max="4" width="15.7109375" customWidth="1"/>
  </cols>
  <sheetData>
    <row r="1" spans="1:4" x14ac:dyDescent="0.25">
      <c r="A1" s="1" t="s">
        <v>176</v>
      </c>
    </row>
    <row r="2" spans="1:4" x14ac:dyDescent="0.25">
      <c r="A2" t="s">
        <v>25</v>
      </c>
      <c r="B2" t="s">
        <v>177</v>
      </c>
      <c r="C2" t="s">
        <v>178</v>
      </c>
      <c r="D2" t="s">
        <v>179</v>
      </c>
    </row>
    <row r="3" spans="1:4" x14ac:dyDescent="0.25">
      <c r="A3" t="s">
        <v>34</v>
      </c>
      <c r="B3" s="4">
        <v>100</v>
      </c>
      <c r="C3" s="4">
        <v>100</v>
      </c>
      <c r="D3" s="4">
        <v>100</v>
      </c>
    </row>
    <row r="4" spans="1:4" x14ac:dyDescent="0.25">
      <c r="A4" t="s">
        <v>35</v>
      </c>
      <c r="B4" s="4">
        <v>138.96</v>
      </c>
      <c r="C4" s="4">
        <v>174.74</v>
      </c>
      <c r="D4" s="4">
        <v>155.02000000000001</v>
      </c>
    </row>
    <row r="5" spans="1:4" x14ac:dyDescent="0.25">
      <c r="A5" t="s">
        <v>36</v>
      </c>
      <c r="B5" s="4">
        <v>122.79</v>
      </c>
      <c r="C5" s="4">
        <v>202.24</v>
      </c>
      <c r="D5" s="4">
        <v>127.29</v>
      </c>
    </row>
    <row r="6" spans="1:4" x14ac:dyDescent="0.25">
      <c r="A6" t="s">
        <v>37</v>
      </c>
      <c r="B6" s="4">
        <v>79.05</v>
      </c>
      <c r="C6" s="4">
        <v>138.38</v>
      </c>
      <c r="D6" s="4">
        <v>116.17</v>
      </c>
    </row>
    <row r="7" spans="1:4" x14ac:dyDescent="0.25">
      <c r="A7" t="s">
        <v>38</v>
      </c>
      <c r="B7" s="4">
        <v>116.48</v>
      </c>
      <c r="C7" s="4">
        <v>169.67</v>
      </c>
      <c r="D7" s="4">
        <v>141.53</v>
      </c>
    </row>
    <row r="8" spans="1:4" x14ac:dyDescent="0.25">
      <c r="A8" t="s">
        <v>39</v>
      </c>
      <c r="B8" s="4">
        <v>71.16</v>
      </c>
      <c r="C8" s="4">
        <v>60.22</v>
      </c>
      <c r="D8" s="4">
        <v>177.56</v>
      </c>
    </row>
    <row r="9" spans="1:4" x14ac:dyDescent="0.25">
      <c r="A9" t="s">
        <v>40</v>
      </c>
      <c r="B9" s="4">
        <v>151.11000000000001</v>
      </c>
      <c r="C9" s="4">
        <v>211.52</v>
      </c>
      <c r="D9" s="4">
        <v>145.4</v>
      </c>
    </row>
    <row r="10" spans="1:4" x14ac:dyDescent="0.25">
      <c r="A10" t="s">
        <v>41</v>
      </c>
      <c r="B10" s="4">
        <v>118.61</v>
      </c>
      <c r="C10" s="4">
        <v>175.01</v>
      </c>
      <c r="D10" s="4">
        <v>201.99</v>
      </c>
    </row>
    <row r="11" spans="1:4" x14ac:dyDescent="0.25">
      <c r="A11" t="s">
        <v>42</v>
      </c>
      <c r="B11" s="4">
        <v>135.86000000000001</v>
      </c>
      <c r="C11" s="4">
        <v>172.63</v>
      </c>
      <c r="D11" s="4">
        <v>195.36</v>
      </c>
    </row>
    <row r="12" spans="1:4" x14ac:dyDescent="0.25">
      <c r="A12" t="s">
        <v>43</v>
      </c>
      <c r="B12" s="4">
        <v>121.32</v>
      </c>
      <c r="C12" s="4">
        <v>217.16</v>
      </c>
      <c r="D12" s="4">
        <v>234.33</v>
      </c>
    </row>
    <row r="13" spans="1:4" x14ac:dyDescent="0.25">
      <c r="A13" t="s">
        <v>44</v>
      </c>
      <c r="B13" s="4">
        <v>147.84</v>
      </c>
      <c r="C13" s="4">
        <v>199.68</v>
      </c>
      <c r="D13" s="4">
        <v>194.11</v>
      </c>
    </row>
    <row r="14" spans="1:4" x14ac:dyDescent="0.25">
      <c r="A14" t="s">
        <v>45</v>
      </c>
      <c r="B14" s="4">
        <v>155.85</v>
      </c>
      <c r="C14" s="4">
        <v>162.32</v>
      </c>
      <c r="D14" s="4">
        <v>244.99</v>
      </c>
    </row>
    <row r="15" spans="1:4" x14ac:dyDescent="0.25">
      <c r="A15" t="s">
        <v>46</v>
      </c>
      <c r="B15" s="4">
        <v>150.31</v>
      </c>
      <c r="C15" s="4">
        <v>228.08</v>
      </c>
      <c r="D15" s="4">
        <v>248.18</v>
      </c>
    </row>
    <row r="16" spans="1:4" x14ac:dyDescent="0.25">
      <c r="A16" t="s">
        <v>47</v>
      </c>
      <c r="B16" s="4">
        <v>163.22999999999999</v>
      </c>
      <c r="C16" s="4">
        <v>182.76</v>
      </c>
      <c r="D16" s="4">
        <v>272.64</v>
      </c>
    </row>
    <row r="17" spans="1:4" x14ac:dyDescent="0.25">
      <c r="A17" t="s">
        <v>48</v>
      </c>
      <c r="B17" s="4">
        <v>146.69999999999999</v>
      </c>
      <c r="C17" s="4">
        <v>221.11</v>
      </c>
      <c r="D17" s="4">
        <v>231.82</v>
      </c>
    </row>
    <row r="18" spans="1:4" x14ac:dyDescent="0.25">
      <c r="A18" t="s">
        <v>49</v>
      </c>
      <c r="B18" s="4">
        <v>165.63</v>
      </c>
      <c r="C18" s="4">
        <v>265.25</v>
      </c>
      <c r="D18" s="4">
        <v>272.11</v>
      </c>
    </row>
    <row r="19" spans="1:4" x14ac:dyDescent="0.25">
      <c r="A19" t="s">
        <v>50</v>
      </c>
      <c r="B19" s="4">
        <v>180.47</v>
      </c>
      <c r="C19" s="4">
        <v>271.47000000000003</v>
      </c>
      <c r="D19" s="4">
        <v>290.55</v>
      </c>
    </row>
    <row r="20" spans="1:4" x14ac:dyDescent="0.25">
      <c r="A20" t="s">
        <v>51</v>
      </c>
      <c r="B20" s="4">
        <v>119.38</v>
      </c>
      <c r="C20" s="4">
        <v>154.6</v>
      </c>
      <c r="D20" s="4">
        <v>242.16</v>
      </c>
    </row>
    <row r="21" spans="1:4" x14ac:dyDescent="0.25">
      <c r="A21" t="s">
        <v>52</v>
      </c>
      <c r="B21" s="4">
        <v>156.31</v>
      </c>
      <c r="C21" s="4">
        <v>262.69</v>
      </c>
      <c r="D21" s="4">
        <v>287.44</v>
      </c>
    </row>
    <row r="22" spans="1:4" x14ac:dyDescent="0.25">
      <c r="A22" t="s">
        <v>53</v>
      </c>
      <c r="B22" s="4">
        <v>194.61</v>
      </c>
      <c r="C22" s="4">
        <v>249.26</v>
      </c>
      <c r="D22" s="4">
        <v>277.66000000000003</v>
      </c>
    </row>
    <row r="23" spans="1:4" x14ac:dyDescent="0.25">
      <c r="A23" t="s">
        <v>54</v>
      </c>
      <c r="B23" s="4">
        <v>171.81</v>
      </c>
      <c r="C23" s="4">
        <v>222.25</v>
      </c>
      <c r="D23" s="4">
        <v>270.29000000000002</v>
      </c>
    </row>
    <row r="24" spans="1:4" x14ac:dyDescent="0.25">
      <c r="A24" t="s">
        <v>55</v>
      </c>
      <c r="B24" s="4">
        <v>192.32</v>
      </c>
      <c r="C24" s="4">
        <v>228.97</v>
      </c>
      <c r="D24" s="4">
        <v>278.52</v>
      </c>
    </row>
    <row r="25" spans="1:4" x14ac:dyDescent="0.25">
      <c r="A25" t="s">
        <v>56</v>
      </c>
      <c r="B25" s="4">
        <v>191.75</v>
      </c>
      <c r="C25" s="4">
        <v>240.49</v>
      </c>
      <c r="D25" s="4">
        <v>308.49</v>
      </c>
    </row>
    <row r="26" spans="1:4" x14ac:dyDescent="0.25">
      <c r="A26" t="s">
        <v>57</v>
      </c>
      <c r="B26" s="4">
        <v>177.6</v>
      </c>
      <c r="C26" s="4">
        <v>286.74</v>
      </c>
      <c r="D26" s="4">
        <v>204.26</v>
      </c>
    </row>
    <row r="27" spans="1:4" x14ac:dyDescent="0.25">
      <c r="A27" t="s">
        <v>58</v>
      </c>
      <c r="B27" s="4">
        <v>187.9</v>
      </c>
      <c r="C27" s="4">
        <v>304</v>
      </c>
      <c r="D27" s="4">
        <v>286.29000000000002</v>
      </c>
    </row>
    <row r="28" spans="1:4" x14ac:dyDescent="0.25">
      <c r="A28" t="s">
        <v>59</v>
      </c>
      <c r="B28" s="4">
        <v>110.83</v>
      </c>
      <c r="C28" s="4">
        <v>152.9</v>
      </c>
      <c r="D28" s="4">
        <v>154.32</v>
      </c>
    </row>
    <row r="29" spans="1:4" x14ac:dyDescent="0.25">
      <c r="A29" t="s">
        <v>60</v>
      </c>
      <c r="B29" s="4">
        <v>161.61000000000001</v>
      </c>
      <c r="C29" s="4">
        <v>286.27999999999997</v>
      </c>
      <c r="D29" s="4">
        <v>326.62</v>
      </c>
    </row>
    <row r="30" spans="1:4" x14ac:dyDescent="0.25">
      <c r="A30" t="s">
        <v>61</v>
      </c>
      <c r="B30" s="4">
        <v>183.14</v>
      </c>
      <c r="C30" s="4">
        <v>202.22</v>
      </c>
      <c r="D30" s="4">
        <v>267.23</v>
      </c>
    </row>
    <row r="31" spans="1:4" x14ac:dyDescent="0.25">
      <c r="A31" t="s">
        <v>62</v>
      </c>
      <c r="B31" s="4">
        <v>202.68</v>
      </c>
      <c r="C31" s="4">
        <v>289.83</v>
      </c>
      <c r="D31" s="4">
        <v>301.24</v>
      </c>
    </row>
    <row r="32" spans="1:4" x14ac:dyDescent="0.25">
      <c r="A32" t="s">
        <v>63</v>
      </c>
      <c r="B32" s="4">
        <v>114.5</v>
      </c>
      <c r="C32" s="4">
        <v>155.07</v>
      </c>
      <c r="D32" s="4">
        <v>182.45</v>
      </c>
    </row>
    <row r="33" spans="1:4" x14ac:dyDescent="0.25">
      <c r="A33" t="s">
        <v>64</v>
      </c>
      <c r="B33" s="4">
        <v>120.31</v>
      </c>
      <c r="C33" s="4">
        <v>199.66</v>
      </c>
      <c r="D33" s="4">
        <v>225.3</v>
      </c>
    </row>
    <row r="34" spans="1:4" x14ac:dyDescent="0.25">
      <c r="A34" t="s">
        <v>65</v>
      </c>
      <c r="B34" s="4">
        <v>194.54</v>
      </c>
      <c r="C34" s="4">
        <v>239.02</v>
      </c>
      <c r="D34" s="4">
        <v>346.72</v>
      </c>
    </row>
    <row r="35" spans="1:4" x14ac:dyDescent="0.25">
      <c r="A35" t="s">
        <v>66</v>
      </c>
      <c r="B35" s="4">
        <v>156.47</v>
      </c>
      <c r="C35" s="4">
        <v>299.98</v>
      </c>
      <c r="D35" s="4">
        <v>285.19</v>
      </c>
    </row>
    <row r="36" spans="1:4" x14ac:dyDescent="0.25">
      <c r="A36" t="s">
        <v>67</v>
      </c>
      <c r="B36" s="4">
        <v>221.77</v>
      </c>
      <c r="C36" s="4">
        <v>335.39</v>
      </c>
      <c r="D36" s="4">
        <v>200.91</v>
      </c>
    </row>
    <row r="37" spans="1:4" x14ac:dyDescent="0.25">
      <c r="A37" t="s">
        <v>68</v>
      </c>
      <c r="B37" s="4">
        <v>203.7</v>
      </c>
      <c r="C37" s="4">
        <v>326.8</v>
      </c>
      <c r="D37" s="4">
        <v>336.46</v>
      </c>
    </row>
    <row r="38" spans="1:4" x14ac:dyDescent="0.25">
      <c r="A38" t="s">
        <v>69</v>
      </c>
      <c r="B38" s="4">
        <v>200.76</v>
      </c>
      <c r="C38" s="4">
        <v>243.17</v>
      </c>
      <c r="D38" s="4">
        <v>231.34</v>
      </c>
    </row>
    <row r="39" spans="1:4" x14ac:dyDescent="0.25">
      <c r="A39" t="s">
        <v>70</v>
      </c>
      <c r="B39" s="4">
        <v>180.22</v>
      </c>
      <c r="C39" s="4">
        <v>311.64999999999998</v>
      </c>
      <c r="D39" s="4">
        <v>340.73</v>
      </c>
    </row>
    <row r="40" spans="1:4" x14ac:dyDescent="0.25">
      <c r="A40" t="s">
        <v>71</v>
      </c>
      <c r="B40" s="4">
        <v>179.73</v>
      </c>
      <c r="C40" s="4">
        <v>276.05</v>
      </c>
      <c r="D40" s="4">
        <v>282.27</v>
      </c>
    </row>
    <row r="41" spans="1:4" x14ac:dyDescent="0.25">
      <c r="A41" t="s">
        <v>72</v>
      </c>
      <c r="B41" s="4">
        <v>223.18</v>
      </c>
      <c r="C41" s="4">
        <v>268.64</v>
      </c>
      <c r="D41" s="4">
        <v>299.81</v>
      </c>
    </row>
    <row r="42" spans="1:4" x14ac:dyDescent="0.25">
      <c r="A42" t="s">
        <v>73</v>
      </c>
      <c r="B42" s="4">
        <v>242.25</v>
      </c>
      <c r="C42" s="4">
        <v>395.43</v>
      </c>
      <c r="D42" s="4">
        <v>322.42</v>
      </c>
    </row>
    <row r="43" spans="1:4" x14ac:dyDescent="0.25">
      <c r="A43" t="s">
        <v>74</v>
      </c>
      <c r="B43" s="4">
        <v>194.75</v>
      </c>
      <c r="C43" s="4">
        <v>330.56</v>
      </c>
      <c r="D43" s="4">
        <v>299.47000000000003</v>
      </c>
    </row>
    <row r="44" spans="1:4" x14ac:dyDescent="0.25">
      <c r="A44" t="s">
        <v>75</v>
      </c>
      <c r="B44" s="4">
        <v>134.84</v>
      </c>
      <c r="C44" s="4">
        <v>253.15</v>
      </c>
      <c r="D44" s="4">
        <v>332.34</v>
      </c>
    </row>
    <row r="45" spans="1:4" x14ac:dyDescent="0.25">
      <c r="A45" t="s">
        <v>76</v>
      </c>
      <c r="B45" s="4">
        <v>124.15</v>
      </c>
      <c r="C45" s="4">
        <v>357.84</v>
      </c>
      <c r="D45" s="4">
        <v>200.97</v>
      </c>
    </row>
    <row r="46" spans="1:4" x14ac:dyDescent="0.25">
      <c r="A46" t="s">
        <v>77</v>
      </c>
      <c r="B46" s="4">
        <v>234.5</v>
      </c>
      <c r="C46" s="4">
        <v>360.79</v>
      </c>
      <c r="D46" s="4">
        <v>290.58</v>
      </c>
    </row>
    <row r="47" spans="1:4" x14ac:dyDescent="0.25">
      <c r="A47" t="s">
        <v>78</v>
      </c>
      <c r="B47" s="4">
        <v>250.67</v>
      </c>
      <c r="C47" s="4">
        <v>321.38</v>
      </c>
      <c r="D47" s="4">
        <v>373.86</v>
      </c>
    </row>
    <row r="48" spans="1:4" x14ac:dyDescent="0.25">
      <c r="A48" t="s">
        <v>79</v>
      </c>
      <c r="B48" s="4">
        <v>207.43</v>
      </c>
      <c r="C48" s="4">
        <v>360.88</v>
      </c>
      <c r="D48" s="4">
        <v>381.09</v>
      </c>
    </row>
    <row r="49" spans="1:4" x14ac:dyDescent="0.25">
      <c r="A49" t="s">
        <v>80</v>
      </c>
      <c r="B49" s="4">
        <v>196.07</v>
      </c>
      <c r="C49" s="4">
        <v>342.15</v>
      </c>
      <c r="D49" s="4">
        <v>243.91</v>
      </c>
    </row>
    <row r="50" spans="1:4" x14ac:dyDescent="0.25">
      <c r="A50" t="s">
        <v>81</v>
      </c>
      <c r="B50" s="4">
        <v>255.12</v>
      </c>
      <c r="C50" s="4">
        <v>267.66000000000003</v>
      </c>
      <c r="D50" s="4">
        <v>326.01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0"/>
  <sheetViews>
    <sheetView workbookViewId="0">
      <pane xSplit="1" ySplit="2" topLeftCell="B30" activePane="bottomRight" state="frozen"/>
      <selection pane="topRight"/>
      <selection pane="bottomLeft"/>
      <selection pane="bottomRight" activeCell="H38" sqref="H38"/>
    </sheetView>
  </sheetViews>
  <sheetFormatPr defaultColWidth="11" defaultRowHeight="15" x14ac:dyDescent="0.25"/>
  <cols>
    <col min="1" max="1" width="16.7109375" customWidth="1"/>
    <col min="2" max="4" width="15.7109375" customWidth="1"/>
  </cols>
  <sheetData>
    <row r="1" spans="1:4" x14ac:dyDescent="0.25">
      <c r="A1" s="1" t="s">
        <v>181</v>
      </c>
    </row>
    <row r="2" spans="1:4" x14ac:dyDescent="0.25">
      <c r="A2" t="s">
        <v>25</v>
      </c>
      <c r="B2" t="s">
        <v>177</v>
      </c>
      <c r="C2" t="s">
        <v>178</v>
      </c>
      <c r="D2" t="s">
        <v>179</v>
      </c>
    </row>
    <row r="3" spans="1:4" x14ac:dyDescent="0.25">
      <c r="A3" t="s">
        <v>34</v>
      </c>
      <c r="B3" s="4">
        <v>100</v>
      </c>
      <c r="C3" s="4">
        <v>100</v>
      </c>
      <c r="D3" s="4">
        <v>100</v>
      </c>
    </row>
    <row r="4" spans="1:4" x14ac:dyDescent="0.25">
      <c r="A4" t="s">
        <v>35</v>
      </c>
      <c r="B4" s="4">
        <v>117.55</v>
      </c>
      <c r="C4" s="4">
        <v>135.97999999999999</v>
      </c>
      <c r="D4" s="4">
        <v>105.51</v>
      </c>
    </row>
    <row r="5" spans="1:4" x14ac:dyDescent="0.25">
      <c r="A5" t="s">
        <v>36</v>
      </c>
      <c r="B5" s="4">
        <v>112.91</v>
      </c>
      <c r="C5" s="4">
        <v>147.88</v>
      </c>
      <c r="D5" s="4">
        <v>103.13</v>
      </c>
    </row>
    <row r="6" spans="1:4" x14ac:dyDescent="0.25">
      <c r="A6" t="s">
        <v>37</v>
      </c>
      <c r="B6" s="4">
        <v>77.66</v>
      </c>
      <c r="C6" s="4">
        <v>125.1</v>
      </c>
      <c r="D6" s="4">
        <v>89.02</v>
      </c>
    </row>
    <row r="7" spans="1:4" x14ac:dyDescent="0.25">
      <c r="A7" t="s">
        <v>38</v>
      </c>
      <c r="B7" s="4">
        <v>106.76</v>
      </c>
      <c r="C7" s="4">
        <v>123.64</v>
      </c>
      <c r="D7" s="4">
        <v>92.87</v>
      </c>
    </row>
    <row r="8" spans="1:4" x14ac:dyDescent="0.25">
      <c r="A8" t="s">
        <v>39</v>
      </c>
      <c r="B8" s="4">
        <v>74.7</v>
      </c>
      <c r="C8" s="4">
        <v>108.01</v>
      </c>
      <c r="D8" s="4">
        <v>102.44</v>
      </c>
    </row>
    <row r="9" spans="1:4" x14ac:dyDescent="0.25">
      <c r="A9" t="s">
        <v>40</v>
      </c>
      <c r="B9" s="4">
        <v>126.79</v>
      </c>
      <c r="C9" s="4">
        <v>153.88</v>
      </c>
      <c r="D9" s="4">
        <v>112.22</v>
      </c>
    </row>
    <row r="10" spans="1:4" x14ac:dyDescent="0.25">
      <c r="A10" t="s">
        <v>41</v>
      </c>
      <c r="B10" s="4">
        <v>100.93</v>
      </c>
      <c r="C10" s="4">
        <v>156.38999999999999</v>
      </c>
      <c r="D10" s="4">
        <v>144.27000000000001</v>
      </c>
    </row>
    <row r="11" spans="1:4" x14ac:dyDescent="0.25">
      <c r="A11" t="s">
        <v>42</v>
      </c>
      <c r="B11" s="4">
        <v>117.16</v>
      </c>
      <c r="C11" s="4">
        <v>155.16</v>
      </c>
      <c r="D11" s="4">
        <v>116.05</v>
      </c>
    </row>
    <row r="12" spans="1:4" x14ac:dyDescent="0.25">
      <c r="A12" t="s">
        <v>43</v>
      </c>
      <c r="B12" s="4">
        <v>107.69</v>
      </c>
      <c r="C12" s="4">
        <v>162.55000000000001</v>
      </c>
      <c r="D12" s="4">
        <v>126.75</v>
      </c>
    </row>
    <row r="13" spans="1:4" x14ac:dyDescent="0.25">
      <c r="A13" t="s">
        <v>44</v>
      </c>
      <c r="B13" s="4">
        <v>119.65</v>
      </c>
      <c r="C13" s="4">
        <v>148.41999999999999</v>
      </c>
      <c r="D13" s="4">
        <v>113.91</v>
      </c>
    </row>
    <row r="14" spans="1:4" x14ac:dyDescent="0.25">
      <c r="A14" t="s">
        <v>45</v>
      </c>
      <c r="B14" s="4">
        <v>131.09</v>
      </c>
      <c r="C14" s="4">
        <v>137.80000000000001</v>
      </c>
      <c r="D14" s="4">
        <v>134.94999999999999</v>
      </c>
    </row>
    <row r="15" spans="1:4" x14ac:dyDescent="0.25">
      <c r="A15" t="s">
        <v>46</v>
      </c>
      <c r="B15" s="4">
        <v>127.3</v>
      </c>
      <c r="C15" s="4">
        <v>178.58</v>
      </c>
      <c r="D15" s="4">
        <v>137.30000000000001</v>
      </c>
    </row>
    <row r="16" spans="1:4" x14ac:dyDescent="0.25">
      <c r="A16" t="s">
        <v>47</v>
      </c>
      <c r="B16" s="4">
        <v>147.91</v>
      </c>
      <c r="C16" s="4">
        <v>168.76</v>
      </c>
      <c r="D16" s="4">
        <v>147.82</v>
      </c>
    </row>
    <row r="17" spans="1:4" x14ac:dyDescent="0.25">
      <c r="A17" t="s">
        <v>48</v>
      </c>
      <c r="B17" s="4">
        <v>128.08000000000001</v>
      </c>
      <c r="C17" s="4">
        <v>170.48</v>
      </c>
      <c r="D17" s="4">
        <v>150.19999999999999</v>
      </c>
    </row>
    <row r="18" spans="1:4" x14ac:dyDescent="0.25">
      <c r="A18" t="s">
        <v>49</v>
      </c>
      <c r="B18" s="4">
        <v>145.81</v>
      </c>
      <c r="C18" s="4">
        <v>179.33</v>
      </c>
      <c r="D18" s="4">
        <v>158.88999999999999</v>
      </c>
    </row>
    <row r="19" spans="1:4" x14ac:dyDescent="0.25">
      <c r="A19" t="s">
        <v>50</v>
      </c>
      <c r="B19" s="4">
        <v>150.55000000000001</v>
      </c>
      <c r="C19" s="4">
        <v>174.75</v>
      </c>
      <c r="D19" s="4">
        <v>166.89</v>
      </c>
    </row>
    <row r="20" spans="1:4" x14ac:dyDescent="0.25">
      <c r="A20" t="s">
        <v>51</v>
      </c>
      <c r="B20" s="4">
        <v>106.23</v>
      </c>
      <c r="C20" s="4">
        <v>140.74</v>
      </c>
      <c r="D20" s="4">
        <v>157.91</v>
      </c>
    </row>
    <row r="21" spans="1:4" x14ac:dyDescent="0.25">
      <c r="A21" t="s">
        <v>52</v>
      </c>
      <c r="B21" s="4">
        <v>136.87</v>
      </c>
      <c r="C21" s="4">
        <v>181.56</v>
      </c>
      <c r="D21" s="4">
        <v>166.54</v>
      </c>
    </row>
    <row r="22" spans="1:4" x14ac:dyDescent="0.25">
      <c r="A22" t="s">
        <v>53</v>
      </c>
      <c r="B22" s="4">
        <v>136.43</v>
      </c>
      <c r="C22" s="4">
        <v>168.84</v>
      </c>
      <c r="D22" s="4">
        <v>152.82</v>
      </c>
    </row>
    <row r="23" spans="1:4" x14ac:dyDescent="0.25">
      <c r="A23" t="s">
        <v>54</v>
      </c>
      <c r="B23" s="4">
        <v>135.80000000000001</v>
      </c>
      <c r="C23" s="4">
        <v>167.18</v>
      </c>
      <c r="D23" s="4">
        <v>163.74</v>
      </c>
    </row>
    <row r="24" spans="1:4" x14ac:dyDescent="0.25">
      <c r="A24" t="s">
        <v>55</v>
      </c>
      <c r="B24" s="4">
        <v>143.63</v>
      </c>
      <c r="C24" s="4">
        <v>173.27</v>
      </c>
      <c r="D24" s="4">
        <v>182.01</v>
      </c>
    </row>
    <row r="25" spans="1:4" x14ac:dyDescent="0.25">
      <c r="A25" t="s">
        <v>56</v>
      </c>
      <c r="B25" s="4">
        <v>156.71</v>
      </c>
      <c r="C25" s="4">
        <v>208.63</v>
      </c>
      <c r="D25" s="4">
        <v>182.73</v>
      </c>
    </row>
    <row r="26" spans="1:4" x14ac:dyDescent="0.25">
      <c r="A26" t="s">
        <v>57</v>
      </c>
      <c r="B26" s="4">
        <v>151.66999999999999</v>
      </c>
      <c r="C26" s="4">
        <v>223.73</v>
      </c>
      <c r="D26" s="4">
        <v>124.91</v>
      </c>
    </row>
    <row r="27" spans="1:4" x14ac:dyDescent="0.25">
      <c r="A27" t="s">
        <v>58</v>
      </c>
      <c r="B27" s="4">
        <v>144.36000000000001</v>
      </c>
      <c r="C27" s="4">
        <v>224.41</v>
      </c>
      <c r="D27" s="4">
        <v>170.51</v>
      </c>
    </row>
    <row r="28" spans="1:4" x14ac:dyDescent="0.25">
      <c r="A28" t="s">
        <v>59</v>
      </c>
      <c r="B28" s="4">
        <v>92.15</v>
      </c>
      <c r="C28" s="4">
        <v>138.62</v>
      </c>
      <c r="D28" s="4">
        <v>129.59</v>
      </c>
    </row>
    <row r="29" spans="1:4" x14ac:dyDescent="0.25">
      <c r="A29" t="s">
        <v>60</v>
      </c>
      <c r="B29" s="4">
        <v>124.59</v>
      </c>
      <c r="C29" s="4">
        <v>201.37</v>
      </c>
      <c r="D29" s="4">
        <v>185.64</v>
      </c>
    </row>
    <row r="30" spans="1:4" x14ac:dyDescent="0.25">
      <c r="A30" t="s">
        <v>61</v>
      </c>
      <c r="B30" s="4">
        <v>116.56</v>
      </c>
      <c r="C30" s="4">
        <v>191.98</v>
      </c>
      <c r="D30" s="4">
        <v>172.3</v>
      </c>
    </row>
    <row r="31" spans="1:4" x14ac:dyDescent="0.25">
      <c r="A31" t="s">
        <v>62</v>
      </c>
      <c r="B31" s="4">
        <v>132.82</v>
      </c>
      <c r="C31" s="4">
        <v>220.22</v>
      </c>
      <c r="D31" s="4">
        <v>183.47</v>
      </c>
    </row>
    <row r="32" spans="1:4" x14ac:dyDescent="0.25">
      <c r="A32" t="s">
        <v>63</v>
      </c>
      <c r="B32" s="4">
        <v>98.76</v>
      </c>
      <c r="C32" s="4">
        <v>128.15</v>
      </c>
      <c r="D32" s="4">
        <v>132.02000000000001</v>
      </c>
    </row>
    <row r="33" spans="1:4" x14ac:dyDescent="0.25">
      <c r="A33" t="s">
        <v>64</v>
      </c>
      <c r="B33" s="4">
        <v>90.37</v>
      </c>
      <c r="C33" s="4">
        <v>177.73</v>
      </c>
      <c r="D33" s="4">
        <v>172.5</v>
      </c>
    </row>
    <row r="34" spans="1:4" x14ac:dyDescent="0.25">
      <c r="A34" t="s">
        <v>65</v>
      </c>
      <c r="B34" s="4">
        <v>124.76</v>
      </c>
      <c r="C34" s="4">
        <v>176.98</v>
      </c>
      <c r="D34" s="4">
        <v>196.47</v>
      </c>
    </row>
    <row r="35" spans="1:4" x14ac:dyDescent="0.25">
      <c r="A35" t="s">
        <v>66</v>
      </c>
      <c r="B35" s="4">
        <v>112.35</v>
      </c>
      <c r="C35" s="4">
        <v>218.93</v>
      </c>
      <c r="D35" s="4">
        <v>157.65</v>
      </c>
    </row>
    <row r="36" spans="1:4" x14ac:dyDescent="0.25">
      <c r="A36" t="s">
        <v>67</v>
      </c>
      <c r="B36" s="4">
        <v>163.33000000000001</v>
      </c>
      <c r="C36" s="4">
        <v>234.6</v>
      </c>
      <c r="D36" s="4">
        <v>101.65</v>
      </c>
    </row>
    <row r="37" spans="1:4" x14ac:dyDescent="0.25">
      <c r="A37" t="s">
        <v>68</v>
      </c>
      <c r="B37" s="4">
        <v>144.68</v>
      </c>
      <c r="C37" s="4">
        <v>214.52</v>
      </c>
      <c r="D37" s="4">
        <v>153.99</v>
      </c>
    </row>
    <row r="38" spans="1:4" x14ac:dyDescent="0.25">
      <c r="A38" t="s">
        <v>69</v>
      </c>
      <c r="B38" s="4">
        <v>156.16</v>
      </c>
      <c r="C38" s="4">
        <v>223.29</v>
      </c>
      <c r="D38" s="4">
        <v>148.11000000000001</v>
      </c>
    </row>
    <row r="39" spans="1:4" x14ac:dyDescent="0.25">
      <c r="A39" t="s">
        <v>70</v>
      </c>
      <c r="B39" s="4">
        <v>158.13999999999999</v>
      </c>
      <c r="C39" s="4">
        <v>227.81</v>
      </c>
      <c r="D39" s="4">
        <v>192.65</v>
      </c>
    </row>
    <row r="40" spans="1:4" x14ac:dyDescent="0.25">
      <c r="A40" t="s">
        <v>71</v>
      </c>
      <c r="B40" s="4">
        <v>151.36000000000001</v>
      </c>
      <c r="C40" s="4">
        <v>209.7</v>
      </c>
      <c r="D40" s="4">
        <v>157.08000000000001</v>
      </c>
    </row>
    <row r="41" spans="1:4" x14ac:dyDescent="0.25">
      <c r="A41" t="s">
        <v>72</v>
      </c>
      <c r="B41" s="4">
        <v>148.9</v>
      </c>
      <c r="C41" s="4">
        <v>186.95</v>
      </c>
      <c r="D41" s="4">
        <v>151.18</v>
      </c>
    </row>
    <row r="42" spans="1:4" x14ac:dyDescent="0.25">
      <c r="A42" t="s">
        <v>73</v>
      </c>
      <c r="B42" s="4">
        <v>177.31</v>
      </c>
      <c r="C42" s="4">
        <v>250.21</v>
      </c>
      <c r="D42" s="4">
        <v>179.32</v>
      </c>
    </row>
    <row r="43" spans="1:4" x14ac:dyDescent="0.25">
      <c r="A43" t="s">
        <v>74</v>
      </c>
      <c r="B43" s="4">
        <v>136.78</v>
      </c>
      <c r="C43" s="4">
        <v>198.8</v>
      </c>
      <c r="D43" s="4">
        <v>185.24</v>
      </c>
    </row>
    <row r="44" spans="1:4" x14ac:dyDescent="0.25">
      <c r="A44" t="s">
        <v>75</v>
      </c>
      <c r="B44" s="4">
        <v>96.36</v>
      </c>
      <c r="C44" s="4">
        <v>171.48</v>
      </c>
      <c r="D44" s="4">
        <v>162.88999999999999</v>
      </c>
    </row>
    <row r="45" spans="1:4" x14ac:dyDescent="0.25">
      <c r="A45" t="s">
        <v>76</v>
      </c>
      <c r="B45" s="4">
        <v>90.29</v>
      </c>
      <c r="C45" s="4">
        <v>193.72</v>
      </c>
      <c r="D45" s="4">
        <v>144.83000000000001</v>
      </c>
    </row>
    <row r="46" spans="1:4" x14ac:dyDescent="0.25">
      <c r="A46" t="s">
        <v>77</v>
      </c>
      <c r="B46" s="4">
        <v>173.93</v>
      </c>
      <c r="C46" s="4">
        <v>166</v>
      </c>
      <c r="D46" s="4">
        <v>152</v>
      </c>
    </row>
    <row r="47" spans="1:4" x14ac:dyDescent="0.25">
      <c r="A47" t="s">
        <v>78</v>
      </c>
      <c r="B47" s="4">
        <v>184.45</v>
      </c>
      <c r="C47" s="4">
        <v>213.52</v>
      </c>
      <c r="D47" s="4">
        <v>195.07</v>
      </c>
    </row>
    <row r="48" spans="1:4" x14ac:dyDescent="0.25">
      <c r="A48" t="s">
        <v>79</v>
      </c>
      <c r="B48" s="4">
        <v>149.69</v>
      </c>
      <c r="C48" s="4">
        <v>182.66</v>
      </c>
      <c r="D48" s="4">
        <v>173.36</v>
      </c>
    </row>
    <row r="49" spans="1:4" x14ac:dyDescent="0.25">
      <c r="A49" t="s">
        <v>80</v>
      </c>
      <c r="B49" s="4">
        <v>147.36000000000001</v>
      </c>
      <c r="C49" s="4">
        <v>164.27</v>
      </c>
      <c r="D49" s="4">
        <v>153.47999999999999</v>
      </c>
    </row>
    <row r="50" spans="1:4" x14ac:dyDescent="0.25">
      <c r="A50" t="s">
        <v>81</v>
      </c>
      <c r="B50" s="4">
        <v>154.87</v>
      </c>
      <c r="C50" s="4">
        <v>137.6</v>
      </c>
      <c r="D50" s="4">
        <v>173.89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0"/>
  <sheetViews>
    <sheetView workbookViewId="0">
      <pane xSplit="1" ySplit="2" topLeftCell="B30" activePane="bottomRight" state="frozen"/>
      <selection pane="topRight"/>
      <selection pane="bottomLeft"/>
      <selection pane="bottomRight" activeCell="H49" sqref="H49"/>
    </sheetView>
  </sheetViews>
  <sheetFormatPr defaultColWidth="11" defaultRowHeight="15" x14ac:dyDescent="0.25"/>
  <cols>
    <col min="1" max="1" width="16.7109375" customWidth="1"/>
    <col min="2" max="4" width="15.7109375" customWidth="1"/>
  </cols>
  <sheetData>
    <row r="1" spans="1:4" x14ac:dyDescent="0.25">
      <c r="A1" s="1" t="s">
        <v>183</v>
      </c>
    </row>
    <row r="2" spans="1:4" x14ac:dyDescent="0.25">
      <c r="A2" t="s">
        <v>25</v>
      </c>
      <c r="B2" t="s">
        <v>184</v>
      </c>
      <c r="C2" t="s">
        <v>185</v>
      </c>
      <c r="D2" t="s">
        <v>186</v>
      </c>
    </row>
    <row r="3" spans="1:4" x14ac:dyDescent="0.25">
      <c r="A3" t="s">
        <v>34</v>
      </c>
      <c r="B3" s="4">
        <v>100</v>
      </c>
      <c r="C3" s="4">
        <v>100</v>
      </c>
      <c r="D3" s="4">
        <v>100</v>
      </c>
    </row>
    <row r="4" spans="1:4" x14ac:dyDescent="0.25">
      <c r="A4" t="s">
        <v>35</v>
      </c>
      <c r="B4" s="4">
        <v>97.45</v>
      </c>
      <c r="C4" s="4">
        <v>99.69</v>
      </c>
      <c r="D4" s="4">
        <v>100.04</v>
      </c>
    </row>
    <row r="5" spans="1:4" x14ac:dyDescent="0.25">
      <c r="A5" t="s">
        <v>36</v>
      </c>
      <c r="B5" s="4">
        <v>90.98</v>
      </c>
      <c r="C5" s="4">
        <v>91.19</v>
      </c>
      <c r="D5" s="4">
        <v>98.38</v>
      </c>
    </row>
    <row r="6" spans="1:4" x14ac:dyDescent="0.25">
      <c r="A6" t="s">
        <v>37</v>
      </c>
      <c r="B6" s="4">
        <v>89.22</v>
      </c>
      <c r="C6" s="4">
        <v>81.739999999999995</v>
      </c>
      <c r="D6" s="4">
        <v>88.17</v>
      </c>
    </row>
    <row r="7" spans="1:4" x14ac:dyDescent="0.25">
      <c r="A7" t="s">
        <v>38</v>
      </c>
      <c r="B7" s="4">
        <v>109.91</v>
      </c>
      <c r="C7" s="4">
        <v>101.03</v>
      </c>
      <c r="D7" s="4">
        <v>89.66</v>
      </c>
    </row>
    <row r="8" spans="1:4" x14ac:dyDescent="0.25">
      <c r="A8" t="s">
        <v>39</v>
      </c>
      <c r="B8" s="4">
        <v>92.22</v>
      </c>
      <c r="C8" s="4">
        <v>78.75</v>
      </c>
      <c r="D8" s="4">
        <v>96.6</v>
      </c>
    </row>
    <row r="9" spans="1:4" x14ac:dyDescent="0.25">
      <c r="A9" t="s">
        <v>40</v>
      </c>
      <c r="B9" s="4">
        <v>105.76</v>
      </c>
      <c r="C9" s="4">
        <v>91.5</v>
      </c>
      <c r="D9" s="4">
        <v>103.49</v>
      </c>
    </row>
    <row r="10" spans="1:4" x14ac:dyDescent="0.25">
      <c r="A10" t="s">
        <v>41</v>
      </c>
      <c r="B10" s="4">
        <v>126.74</v>
      </c>
      <c r="C10" s="4">
        <v>122.18</v>
      </c>
      <c r="D10" s="4">
        <v>111.19</v>
      </c>
    </row>
    <row r="11" spans="1:4" x14ac:dyDescent="0.25">
      <c r="A11" t="s">
        <v>42</v>
      </c>
      <c r="B11" s="4">
        <v>100.35</v>
      </c>
      <c r="C11" s="4">
        <v>99.95</v>
      </c>
      <c r="D11" s="4">
        <v>116.81</v>
      </c>
    </row>
    <row r="12" spans="1:4" x14ac:dyDescent="0.25">
      <c r="A12" t="s">
        <v>43</v>
      </c>
      <c r="B12" s="4">
        <v>112.51</v>
      </c>
      <c r="C12" s="4">
        <v>106.35</v>
      </c>
      <c r="D12" s="4">
        <v>116.13</v>
      </c>
    </row>
    <row r="13" spans="1:4" x14ac:dyDescent="0.25">
      <c r="A13" t="s">
        <v>44</v>
      </c>
      <c r="B13" s="4">
        <v>114.88</v>
      </c>
      <c r="C13" s="4">
        <v>101.94</v>
      </c>
      <c r="D13" s="4">
        <v>111.18</v>
      </c>
    </row>
    <row r="14" spans="1:4" x14ac:dyDescent="0.25">
      <c r="A14" t="s">
        <v>45</v>
      </c>
      <c r="B14" s="4">
        <v>108.77</v>
      </c>
      <c r="C14" s="4">
        <v>100.88</v>
      </c>
      <c r="D14" s="4">
        <v>107.8</v>
      </c>
    </row>
    <row r="15" spans="1:4" x14ac:dyDescent="0.25">
      <c r="A15" t="s">
        <v>46</v>
      </c>
      <c r="B15" s="4">
        <v>131.38999999999999</v>
      </c>
      <c r="C15" s="4">
        <v>114.05</v>
      </c>
      <c r="D15" s="4">
        <v>119.23</v>
      </c>
    </row>
    <row r="16" spans="1:4" x14ac:dyDescent="0.25">
      <c r="A16" t="s">
        <v>47</v>
      </c>
      <c r="B16" s="4">
        <v>142.46</v>
      </c>
      <c r="C16" s="4">
        <v>122.65</v>
      </c>
      <c r="D16" s="4">
        <v>110.27</v>
      </c>
    </row>
    <row r="17" spans="1:4" x14ac:dyDescent="0.25">
      <c r="A17" t="s">
        <v>48</v>
      </c>
      <c r="B17" s="4">
        <v>116.95</v>
      </c>
      <c r="C17" s="4">
        <v>115.56</v>
      </c>
      <c r="D17" s="4">
        <v>106.52</v>
      </c>
    </row>
    <row r="18" spans="1:4" x14ac:dyDescent="0.25">
      <c r="A18" t="s">
        <v>49</v>
      </c>
      <c r="B18" s="4">
        <v>121.36</v>
      </c>
      <c r="C18" s="4">
        <v>113.31</v>
      </c>
      <c r="D18" s="4">
        <v>114.64</v>
      </c>
    </row>
    <row r="19" spans="1:4" x14ac:dyDescent="0.25">
      <c r="A19" t="s">
        <v>50</v>
      </c>
      <c r="B19" s="4">
        <v>130.97</v>
      </c>
      <c r="C19" s="4">
        <v>116.67</v>
      </c>
      <c r="D19" s="4">
        <v>109.66</v>
      </c>
    </row>
    <row r="20" spans="1:4" x14ac:dyDescent="0.25">
      <c r="A20" t="s">
        <v>51</v>
      </c>
      <c r="B20" s="4">
        <v>129.19</v>
      </c>
      <c r="C20" s="4">
        <v>101.49</v>
      </c>
      <c r="D20" s="4">
        <v>95.39</v>
      </c>
    </row>
    <row r="21" spans="1:4" x14ac:dyDescent="0.25">
      <c r="A21" t="s">
        <v>52</v>
      </c>
      <c r="B21" s="4">
        <v>128.46</v>
      </c>
      <c r="C21" s="4">
        <v>107.16</v>
      </c>
      <c r="D21" s="4">
        <v>101.62</v>
      </c>
    </row>
    <row r="22" spans="1:4" x14ac:dyDescent="0.25">
      <c r="A22" t="s">
        <v>53</v>
      </c>
      <c r="B22" s="4">
        <v>137.71</v>
      </c>
      <c r="C22" s="4">
        <v>132.76</v>
      </c>
      <c r="D22" s="4">
        <v>100.42</v>
      </c>
    </row>
    <row r="23" spans="1:4" x14ac:dyDescent="0.25">
      <c r="A23" t="s">
        <v>54</v>
      </c>
      <c r="B23" s="4">
        <v>131.21</v>
      </c>
      <c r="C23" s="4">
        <v>117.91</v>
      </c>
      <c r="D23" s="4">
        <v>105.37</v>
      </c>
    </row>
    <row r="24" spans="1:4" x14ac:dyDescent="0.25">
      <c r="A24" t="s">
        <v>55</v>
      </c>
      <c r="B24" s="4">
        <v>122.19</v>
      </c>
      <c r="C24" s="4">
        <v>132.16999999999999</v>
      </c>
      <c r="D24" s="4">
        <v>118.68</v>
      </c>
    </row>
    <row r="25" spans="1:4" x14ac:dyDescent="0.25">
      <c r="A25" t="s">
        <v>56</v>
      </c>
      <c r="B25" s="4">
        <v>139.76</v>
      </c>
      <c r="C25" s="4">
        <v>138.41</v>
      </c>
      <c r="D25" s="4">
        <v>120.31</v>
      </c>
    </row>
    <row r="26" spans="1:4" x14ac:dyDescent="0.25">
      <c r="A26" t="s">
        <v>57</v>
      </c>
      <c r="B26" s="4">
        <v>160.01</v>
      </c>
      <c r="C26" s="4">
        <v>148.21</v>
      </c>
      <c r="D26" s="4">
        <v>105.03</v>
      </c>
    </row>
    <row r="27" spans="1:4" x14ac:dyDescent="0.25">
      <c r="A27" t="s">
        <v>58</v>
      </c>
      <c r="B27" s="4">
        <v>107.23</v>
      </c>
      <c r="C27" s="4">
        <v>117.66</v>
      </c>
      <c r="D27" s="4">
        <v>108.43</v>
      </c>
    </row>
    <row r="28" spans="1:4" x14ac:dyDescent="0.25">
      <c r="A28" t="s">
        <v>59</v>
      </c>
      <c r="B28" s="4">
        <v>81.819999999999993</v>
      </c>
      <c r="C28" s="4">
        <v>81.11</v>
      </c>
      <c r="D28" s="4">
        <v>105.11</v>
      </c>
    </row>
    <row r="29" spans="1:4" x14ac:dyDescent="0.25">
      <c r="A29" t="s">
        <v>60</v>
      </c>
      <c r="B29" s="4">
        <v>123.46</v>
      </c>
      <c r="C29" s="4">
        <v>102.64</v>
      </c>
      <c r="D29" s="4">
        <v>102.23</v>
      </c>
    </row>
    <row r="30" spans="1:4" x14ac:dyDescent="0.25">
      <c r="A30" t="s">
        <v>61</v>
      </c>
      <c r="B30" s="4">
        <v>111.84</v>
      </c>
      <c r="C30" s="4">
        <v>129.19</v>
      </c>
      <c r="D30" s="4">
        <v>120.43</v>
      </c>
    </row>
    <row r="31" spans="1:4" x14ac:dyDescent="0.25">
      <c r="A31" t="s">
        <v>62</v>
      </c>
      <c r="B31" s="4">
        <v>106.79</v>
      </c>
      <c r="C31" s="4">
        <v>142.79</v>
      </c>
      <c r="D31" s="4">
        <v>122.88</v>
      </c>
    </row>
    <row r="32" spans="1:4" x14ac:dyDescent="0.25">
      <c r="A32" t="s">
        <v>63</v>
      </c>
      <c r="B32" s="4">
        <v>114.19</v>
      </c>
      <c r="C32" s="4">
        <v>115.88</v>
      </c>
      <c r="D32" s="4">
        <v>117.2</v>
      </c>
    </row>
    <row r="33" spans="1:4" x14ac:dyDescent="0.25">
      <c r="A33" t="s">
        <v>64</v>
      </c>
      <c r="B33" s="4">
        <v>120.34</v>
      </c>
      <c r="C33" s="4">
        <v>129.12</v>
      </c>
      <c r="D33" s="4">
        <v>113.49</v>
      </c>
    </row>
    <row r="34" spans="1:4" x14ac:dyDescent="0.25">
      <c r="A34" t="s">
        <v>65</v>
      </c>
      <c r="B34" s="4">
        <v>107.24</v>
      </c>
      <c r="C34" s="4">
        <v>135.54</v>
      </c>
      <c r="D34" s="4">
        <v>107.41</v>
      </c>
    </row>
    <row r="35" spans="1:4" x14ac:dyDescent="0.25">
      <c r="A35" t="s">
        <v>66</v>
      </c>
      <c r="B35" s="4">
        <v>115.02</v>
      </c>
      <c r="C35" s="4">
        <v>129.59</v>
      </c>
      <c r="D35" s="4">
        <v>109.06</v>
      </c>
    </row>
    <row r="36" spans="1:4" x14ac:dyDescent="0.25">
      <c r="A36" t="s">
        <v>67</v>
      </c>
      <c r="B36" s="4">
        <v>137.52000000000001</v>
      </c>
      <c r="C36" s="4">
        <v>146.04</v>
      </c>
      <c r="D36" s="4">
        <v>101.88</v>
      </c>
    </row>
    <row r="37" spans="1:4" x14ac:dyDescent="0.25">
      <c r="A37" t="s">
        <v>68</v>
      </c>
      <c r="B37" s="4">
        <v>153.05000000000001</v>
      </c>
      <c r="C37" s="4">
        <v>142</v>
      </c>
      <c r="D37" s="4">
        <v>110.55</v>
      </c>
    </row>
    <row r="38" spans="1:4" x14ac:dyDescent="0.25">
      <c r="A38" t="s">
        <v>69</v>
      </c>
      <c r="B38" s="4">
        <v>167.53</v>
      </c>
      <c r="C38" s="4">
        <v>134.51</v>
      </c>
      <c r="D38" s="4">
        <v>115.75</v>
      </c>
    </row>
    <row r="39" spans="1:4" x14ac:dyDescent="0.25">
      <c r="A39" t="s">
        <v>70</v>
      </c>
      <c r="B39" s="4">
        <v>151.44999999999999</v>
      </c>
      <c r="C39" s="4">
        <v>136.44</v>
      </c>
      <c r="D39" s="4">
        <v>102.32</v>
      </c>
    </row>
    <row r="40" spans="1:4" x14ac:dyDescent="0.25">
      <c r="A40" t="s">
        <v>71</v>
      </c>
      <c r="B40" s="4">
        <v>141.77000000000001</v>
      </c>
      <c r="C40" s="4">
        <v>136.46</v>
      </c>
      <c r="D40" s="4">
        <v>113.78</v>
      </c>
    </row>
    <row r="41" spans="1:4" x14ac:dyDescent="0.25">
      <c r="A41" t="s">
        <v>72</v>
      </c>
      <c r="B41" s="4">
        <v>133.09</v>
      </c>
      <c r="C41" s="4">
        <v>113.9</v>
      </c>
      <c r="D41" s="4">
        <v>104.04</v>
      </c>
    </row>
    <row r="42" spans="1:4" x14ac:dyDescent="0.25">
      <c r="A42" t="s">
        <v>73</v>
      </c>
      <c r="B42" s="4">
        <v>138.47</v>
      </c>
      <c r="C42" s="4">
        <v>133.41999999999999</v>
      </c>
      <c r="D42" s="4">
        <v>114.91</v>
      </c>
    </row>
    <row r="43" spans="1:4" x14ac:dyDescent="0.25">
      <c r="A43" t="s">
        <v>74</v>
      </c>
      <c r="B43" s="4">
        <v>96.5</v>
      </c>
      <c r="C43" s="4">
        <v>110.12</v>
      </c>
      <c r="D43" s="4">
        <v>117.85</v>
      </c>
    </row>
    <row r="44" spans="1:4" x14ac:dyDescent="0.25">
      <c r="A44" t="s">
        <v>75</v>
      </c>
      <c r="B44" s="4">
        <v>77.78</v>
      </c>
      <c r="C44" s="4">
        <v>101.58</v>
      </c>
      <c r="D44" s="4">
        <v>115.39</v>
      </c>
    </row>
    <row r="45" spans="1:4" x14ac:dyDescent="0.25">
      <c r="A45" t="s">
        <v>76</v>
      </c>
      <c r="B45" s="4">
        <v>87</v>
      </c>
      <c r="C45" s="4">
        <v>91.79</v>
      </c>
      <c r="D45" s="4">
        <v>101.79</v>
      </c>
    </row>
    <row r="46" spans="1:4" x14ac:dyDescent="0.25">
      <c r="A46" t="s">
        <v>77</v>
      </c>
      <c r="B46" s="4">
        <v>112.83</v>
      </c>
      <c r="C46" s="4">
        <v>122.53</v>
      </c>
      <c r="D46" s="4">
        <v>109.62</v>
      </c>
    </row>
    <row r="47" spans="1:4" x14ac:dyDescent="0.25">
      <c r="A47" t="s">
        <v>78</v>
      </c>
      <c r="B47" s="4">
        <v>148.91</v>
      </c>
      <c r="C47" s="4">
        <v>115.43</v>
      </c>
      <c r="D47" s="4">
        <v>97.21</v>
      </c>
    </row>
    <row r="48" spans="1:4" x14ac:dyDescent="0.25">
      <c r="A48" t="s">
        <v>79</v>
      </c>
      <c r="B48" s="4">
        <v>131.69999999999999</v>
      </c>
      <c r="C48" s="4">
        <v>110.64</v>
      </c>
      <c r="D48" s="4">
        <v>109.5</v>
      </c>
    </row>
    <row r="49" spans="1:4" x14ac:dyDescent="0.25">
      <c r="A49" t="s">
        <v>80</v>
      </c>
      <c r="B49" s="4">
        <v>154.79</v>
      </c>
      <c r="C49" s="4">
        <v>108.65</v>
      </c>
      <c r="D49" s="4">
        <v>115.82</v>
      </c>
    </row>
    <row r="50" spans="1:4" x14ac:dyDescent="0.25">
      <c r="A50" t="s">
        <v>81</v>
      </c>
      <c r="B50" s="4">
        <v>115.43</v>
      </c>
      <c r="C50" s="4">
        <v>97.63</v>
      </c>
      <c r="D50" s="4">
        <v>97.4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workbookViewId="0">
      <pane xSplit="1" ySplit="2" topLeftCell="B30" activePane="bottomRight" state="frozen"/>
      <selection pane="topRight"/>
      <selection pane="bottomLeft"/>
      <selection pane="bottomRight" activeCell="H46" sqref="H46"/>
    </sheetView>
  </sheetViews>
  <sheetFormatPr defaultColWidth="11" defaultRowHeight="15" x14ac:dyDescent="0.25"/>
  <cols>
    <col min="1" max="1" width="16.7109375" customWidth="1"/>
    <col min="2" max="3" width="15.7109375" customWidth="1"/>
  </cols>
  <sheetData>
    <row r="1" spans="1:3" x14ac:dyDescent="0.25">
      <c r="A1" s="1" t="s">
        <v>188</v>
      </c>
    </row>
    <row r="2" spans="1:3" x14ac:dyDescent="0.25">
      <c r="A2" t="s">
        <v>25</v>
      </c>
      <c r="B2" t="s">
        <v>189</v>
      </c>
      <c r="C2" t="s">
        <v>190</v>
      </c>
    </row>
    <row r="3" spans="1:3" x14ac:dyDescent="0.25">
      <c r="A3" t="s">
        <v>34</v>
      </c>
      <c r="B3" s="4">
        <v>100</v>
      </c>
      <c r="C3" s="4">
        <v>100</v>
      </c>
    </row>
    <row r="4" spans="1:3" x14ac:dyDescent="0.25">
      <c r="A4" t="s">
        <v>35</v>
      </c>
      <c r="B4" s="4">
        <v>101.13</v>
      </c>
      <c r="C4" s="4">
        <v>95.8</v>
      </c>
    </row>
    <row r="5" spans="1:3" x14ac:dyDescent="0.25">
      <c r="A5" t="s">
        <v>36</v>
      </c>
      <c r="B5" s="4">
        <v>87.32</v>
      </c>
      <c r="C5" s="4">
        <v>103.01</v>
      </c>
    </row>
    <row r="6" spans="1:3" x14ac:dyDescent="0.25">
      <c r="A6" t="s">
        <v>37</v>
      </c>
      <c r="B6" s="4">
        <v>94.92</v>
      </c>
      <c r="C6" s="4">
        <v>116.14</v>
      </c>
    </row>
    <row r="7" spans="1:3" x14ac:dyDescent="0.25">
      <c r="A7" t="s">
        <v>38</v>
      </c>
      <c r="B7" s="4">
        <v>102.96</v>
      </c>
      <c r="C7" s="4">
        <v>99.79</v>
      </c>
    </row>
    <row r="8" spans="1:3" x14ac:dyDescent="0.25">
      <c r="A8" t="s">
        <v>39</v>
      </c>
      <c r="B8" s="4">
        <v>89.01</v>
      </c>
      <c r="C8" s="4">
        <v>96.94</v>
      </c>
    </row>
    <row r="9" spans="1:3" x14ac:dyDescent="0.25">
      <c r="A9" t="s">
        <v>40</v>
      </c>
      <c r="B9" s="4">
        <v>99.88</v>
      </c>
      <c r="C9" s="4">
        <v>103.49</v>
      </c>
    </row>
    <row r="10" spans="1:3" x14ac:dyDescent="0.25">
      <c r="A10" t="s">
        <v>41</v>
      </c>
      <c r="B10" s="4">
        <v>98.68</v>
      </c>
      <c r="C10" s="4">
        <v>112.64</v>
      </c>
    </row>
    <row r="11" spans="1:3" x14ac:dyDescent="0.25">
      <c r="A11" t="s">
        <v>42</v>
      </c>
      <c r="B11" s="4">
        <v>100.47</v>
      </c>
      <c r="C11" s="4">
        <v>115.3</v>
      </c>
    </row>
    <row r="12" spans="1:3" x14ac:dyDescent="0.25">
      <c r="A12" t="s">
        <v>43</v>
      </c>
      <c r="B12" s="4">
        <v>102.04</v>
      </c>
      <c r="C12" s="4">
        <v>115.88</v>
      </c>
    </row>
    <row r="13" spans="1:3" x14ac:dyDescent="0.25">
      <c r="A13" t="s">
        <v>44</v>
      </c>
      <c r="B13" s="4">
        <v>97.35</v>
      </c>
      <c r="C13" s="4">
        <v>131.49</v>
      </c>
    </row>
    <row r="14" spans="1:3" x14ac:dyDescent="0.25">
      <c r="A14" t="s">
        <v>45</v>
      </c>
      <c r="B14" s="4">
        <v>102.89</v>
      </c>
      <c r="C14" s="4">
        <v>159.22</v>
      </c>
    </row>
    <row r="15" spans="1:3" x14ac:dyDescent="0.25">
      <c r="A15" t="s">
        <v>46</v>
      </c>
      <c r="B15" s="4">
        <v>110.41</v>
      </c>
      <c r="C15" s="4">
        <v>157.91</v>
      </c>
    </row>
    <row r="16" spans="1:3" x14ac:dyDescent="0.25">
      <c r="A16" t="s">
        <v>47</v>
      </c>
      <c r="B16" s="4">
        <v>108.74</v>
      </c>
      <c r="C16" s="4">
        <v>131.38999999999999</v>
      </c>
    </row>
    <row r="17" spans="1:3" x14ac:dyDescent="0.25">
      <c r="A17" t="s">
        <v>48</v>
      </c>
      <c r="B17" s="4">
        <v>106.53</v>
      </c>
      <c r="C17" s="4">
        <v>136.33000000000001</v>
      </c>
    </row>
    <row r="18" spans="1:3" x14ac:dyDescent="0.25">
      <c r="A18" t="s">
        <v>49</v>
      </c>
      <c r="B18" s="4">
        <v>118.36</v>
      </c>
      <c r="C18" s="4">
        <v>142.13</v>
      </c>
    </row>
    <row r="19" spans="1:3" x14ac:dyDescent="0.25">
      <c r="A19" t="s">
        <v>50</v>
      </c>
      <c r="B19" s="4">
        <v>116.01</v>
      </c>
      <c r="C19" s="4">
        <v>153.61000000000001</v>
      </c>
    </row>
    <row r="20" spans="1:3" x14ac:dyDescent="0.25">
      <c r="A20" t="s">
        <v>51</v>
      </c>
      <c r="B20" s="4">
        <v>123.69</v>
      </c>
      <c r="C20" s="4">
        <v>127.88</v>
      </c>
    </row>
    <row r="21" spans="1:3" x14ac:dyDescent="0.25">
      <c r="A21" t="s">
        <v>52</v>
      </c>
      <c r="B21" s="4">
        <v>129.78</v>
      </c>
      <c r="C21" s="4">
        <v>151.04</v>
      </c>
    </row>
    <row r="22" spans="1:3" x14ac:dyDescent="0.25">
      <c r="A22" t="s">
        <v>53</v>
      </c>
      <c r="B22" s="4">
        <v>147.68</v>
      </c>
      <c r="C22" s="4">
        <v>164.39</v>
      </c>
    </row>
    <row r="23" spans="1:3" x14ac:dyDescent="0.25">
      <c r="A23" t="s">
        <v>54</v>
      </c>
      <c r="B23" s="4">
        <v>145.15</v>
      </c>
      <c r="C23" s="4">
        <v>132.47999999999999</v>
      </c>
    </row>
    <row r="24" spans="1:3" x14ac:dyDescent="0.25">
      <c r="A24" t="s">
        <v>55</v>
      </c>
      <c r="B24" s="4">
        <v>144.56</v>
      </c>
      <c r="C24" s="4">
        <v>142.09</v>
      </c>
    </row>
    <row r="25" spans="1:3" x14ac:dyDescent="0.25">
      <c r="A25" t="s">
        <v>56</v>
      </c>
      <c r="B25" s="4">
        <v>134.41999999999999</v>
      </c>
      <c r="C25" s="4">
        <v>141.71</v>
      </c>
    </row>
    <row r="26" spans="1:3" x14ac:dyDescent="0.25">
      <c r="A26" t="s">
        <v>57</v>
      </c>
      <c r="B26" s="4">
        <v>134.54</v>
      </c>
      <c r="C26" s="4">
        <v>140.57</v>
      </c>
    </row>
    <row r="27" spans="1:3" x14ac:dyDescent="0.25">
      <c r="A27" t="s">
        <v>58</v>
      </c>
      <c r="B27" s="4">
        <v>128.25</v>
      </c>
      <c r="C27" s="4">
        <v>135.65</v>
      </c>
    </row>
    <row r="28" spans="1:3" x14ac:dyDescent="0.25">
      <c r="A28" t="s">
        <v>59</v>
      </c>
      <c r="B28" s="4">
        <v>112.42</v>
      </c>
      <c r="C28" s="4">
        <v>166.92</v>
      </c>
    </row>
    <row r="29" spans="1:3" x14ac:dyDescent="0.25">
      <c r="A29" t="s">
        <v>60</v>
      </c>
      <c r="B29" s="4">
        <v>121.86</v>
      </c>
      <c r="C29" s="4">
        <v>143.30000000000001</v>
      </c>
    </row>
    <row r="30" spans="1:3" x14ac:dyDescent="0.25">
      <c r="A30" t="s">
        <v>61</v>
      </c>
      <c r="B30" s="4">
        <v>134.29</v>
      </c>
      <c r="C30" s="4">
        <v>159.66999999999999</v>
      </c>
    </row>
    <row r="31" spans="1:3" x14ac:dyDescent="0.25">
      <c r="A31" t="s">
        <v>62</v>
      </c>
      <c r="B31" s="4">
        <v>134.19</v>
      </c>
      <c r="C31" s="4">
        <v>161.08000000000001</v>
      </c>
    </row>
    <row r="32" spans="1:3" x14ac:dyDescent="0.25">
      <c r="A32" t="s">
        <v>63</v>
      </c>
      <c r="B32" s="4">
        <v>153.38</v>
      </c>
      <c r="C32" s="4">
        <v>165.44</v>
      </c>
    </row>
    <row r="33" spans="1:3" x14ac:dyDescent="0.25">
      <c r="A33" t="s">
        <v>64</v>
      </c>
      <c r="B33" s="4">
        <v>156.03</v>
      </c>
      <c r="C33" s="4">
        <v>133.91999999999999</v>
      </c>
    </row>
    <row r="34" spans="1:3" x14ac:dyDescent="0.25">
      <c r="A34" t="s">
        <v>65</v>
      </c>
      <c r="B34" s="4">
        <v>145.62</v>
      </c>
      <c r="C34" s="4">
        <v>122.51</v>
      </c>
    </row>
    <row r="35" spans="1:3" x14ac:dyDescent="0.25">
      <c r="A35" t="s">
        <v>66</v>
      </c>
      <c r="B35" s="4">
        <v>146.6</v>
      </c>
      <c r="C35" s="4">
        <v>131.75</v>
      </c>
    </row>
    <row r="36" spans="1:3" x14ac:dyDescent="0.25">
      <c r="A36" t="s">
        <v>67</v>
      </c>
      <c r="B36" s="4">
        <v>152.74</v>
      </c>
      <c r="C36" s="4">
        <v>129.84</v>
      </c>
    </row>
    <row r="37" spans="1:3" x14ac:dyDescent="0.25">
      <c r="A37" t="s">
        <v>68</v>
      </c>
      <c r="B37" s="4">
        <v>150.69</v>
      </c>
      <c r="C37" s="4">
        <v>123.08</v>
      </c>
    </row>
    <row r="38" spans="1:3" x14ac:dyDescent="0.25">
      <c r="A38" t="s">
        <v>69</v>
      </c>
      <c r="B38" s="4">
        <v>146.88</v>
      </c>
      <c r="C38" s="4">
        <v>130.22999999999999</v>
      </c>
    </row>
    <row r="39" spans="1:3" x14ac:dyDescent="0.25">
      <c r="A39" t="s">
        <v>70</v>
      </c>
      <c r="B39" s="4">
        <v>137.44</v>
      </c>
      <c r="C39" s="4">
        <v>133.51</v>
      </c>
    </row>
    <row r="40" spans="1:3" x14ac:dyDescent="0.25">
      <c r="A40" t="s">
        <v>71</v>
      </c>
      <c r="B40" s="4">
        <v>113.87</v>
      </c>
      <c r="C40" s="4">
        <v>112.56</v>
      </c>
    </row>
    <row r="41" spans="1:3" x14ac:dyDescent="0.25">
      <c r="A41" t="s">
        <v>72</v>
      </c>
      <c r="B41" s="4">
        <v>122.63</v>
      </c>
      <c r="C41" s="4">
        <v>119.15</v>
      </c>
    </row>
    <row r="42" spans="1:3" x14ac:dyDescent="0.25">
      <c r="A42" t="s">
        <v>73</v>
      </c>
      <c r="B42" s="4">
        <v>123.69</v>
      </c>
      <c r="C42" s="4">
        <v>117.53</v>
      </c>
    </row>
    <row r="43" spans="1:3" x14ac:dyDescent="0.25">
      <c r="A43" t="s">
        <v>74</v>
      </c>
      <c r="B43" s="4">
        <v>134.24</v>
      </c>
      <c r="C43" s="4">
        <v>122.84</v>
      </c>
    </row>
    <row r="44" spans="1:3" x14ac:dyDescent="0.25">
      <c r="A44" t="s">
        <v>75</v>
      </c>
      <c r="B44" s="4">
        <v>125.63</v>
      </c>
      <c r="C44" s="4">
        <v>114.64</v>
      </c>
    </row>
    <row r="45" spans="1:3" x14ac:dyDescent="0.25">
      <c r="A45" t="s">
        <v>76</v>
      </c>
      <c r="B45" s="4">
        <v>114.09</v>
      </c>
      <c r="C45" s="4">
        <v>82.14</v>
      </c>
    </row>
    <row r="46" spans="1:3" x14ac:dyDescent="0.25">
      <c r="A46" t="s">
        <v>77</v>
      </c>
      <c r="B46" s="4">
        <v>120.83</v>
      </c>
      <c r="C46" s="4">
        <v>111.27</v>
      </c>
    </row>
    <row r="47" spans="1:3" x14ac:dyDescent="0.25">
      <c r="A47" t="s">
        <v>78</v>
      </c>
      <c r="B47" s="4">
        <v>132.61000000000001</v>
      </c>
      <c r="C47" s="4">
        <v>121.23</v>
      </c>
    </row>
    <row r="48" spans="1:3" x14ac:dyDescent="0.25">
      <c r="A48" t="s">
        <v>79</v>
      </c>
      <c r="B48" s="4">
        <v>138.08000000000001</v>
      </c>
      <c r="C48" s="4">
        <v>109.96</v>
      </c>
    </row>
    <row r="49" spans="1:3" x14ac:dyDescent="0.25">
      <c r="A49" t="s">
        <v>80</v>
      </c>
      <c r="B49" s="4">
        <v>142.6</v>
      </c>
      <c r="C49" s="4">
        <v>104.04</v>
      </c>
    </row>
    <row r="50" spans="1:3" x14ac:dyDescent="0.25">
      <c r="A50" t="s">
        <v>81</v>
      </c>
      <c r="B50" s="4">
        <v>145.13</v>
      </c>
      <c r="C50" s="4">
        <v>106.32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"/>
  <sheetViews>
    <sheetView workbookViewId="0">
      <selection activeCell="G5" sqref="G5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192</v>
      </c>
    </row>
    <row r="2" spans="1:9" x14ac:dyDescent="0.25">
      <c r="A2" t="s">
        <v>95</v>
      </c>
      <c r="B2" t="s">
        <v>177</v>
      </c>
      <c r="C2" t="s">
        <v>178</v>
      </c>
      <c r="D2" t="s">
        <v>179</v>
      </c>
      <c r="E2" t="s">
        <v>184</v>
      </c>
      <c r="F2" t="s">
        <v>185</v>
      </c>
      <c r="G2" t="s">
        <v>186</v>
      </c>
      <c r="H2" t="s">
        <v>189</v>
      </c>
      <c r="I2" t="s">
        <v>190</v>
      </c>
    </row>
    <row r="3" spans="1:9" x14ac:dyDescent="0.25">
      <c r="A3" t="s">
        <v>103</v>
      </c>
      <c r="B3" t="s">
        <v>105</v>
      </c>
      <c r="C3" t="s">
        <v>169</v>
      </c>
      <c r="D3" t="s">
        <v>102</v>
      </c>
      <c r="E3" t="s">
        <v>193</v>
      </c>
      <c r="F3" t="s">
        <v>193</v>
      </c>
      <c r="G3" t="s">
        <v>193</v>
      </c>
      <c r="H3" t="s">
        <v>193</v>
      </c>
      <c r="I3" t="s">
        <v>193</v>
      </c>
    </row>
    <row r="4" spans="1:9" x14ac:dyDescent="0.25">
      <c r="A4" t="s">
        <v>108</v>
      </c>
      <c r="B4" t="s">
        <v>98</v>
      </c>
      <c r="C4" t="s">
        <v>110</v>
      </c>
      <c r="D4" t="s">
        <v>97</v>
      </c>
      <c r="E4" t="s">
        <v>193</v>
      </c>
      <c r="F4" t="s">
        <v>193</v>
      </c>
      <c r="G4" t="s">
        <v>193</v>
      </c>
      <c r="H4" t="s">
        <v>193</v>
      </c>
      <c r="I4" t="s">
        <v>193</v>
      </c>
    </row>
    <row r="5" spans="1:9" x14ac:dyDescent="0.25">
      <c r="A5" t="s">
        <v>111</v>
      </c>
      <c r="B5" t="s">
        <v>193</v>
      </c>
      <c r="C5" t="s">
        <v>193</v>
      </c>
      <c r="D5" t="s">
        <v>193</v>
      </c>
      <c r="E5" t="s">
        <v>101</v>
      </c>
      <c r="F5" t="s">
        <v>141</v>
      </c>
      <c r="G5" t="s">
        <v>194</v>
      </c>
      <c r="H5" t="s">
        <v>193</v>
      </c>
      <c r="I5" t="s">
        <v>193</v>
      </c>
    </row>
    <row r="6" spans="1:9" x14ac:dyDescent="0.25">
      <c r="A6" t="s">
        <v>117</v>
      </c>
      <c r="B6" t="s">
        <v>193</v>
      </c>
      <c r="C6" t="s">
        <v>193</v>
      </c>
      <c r="D6" t="s">
        <v>193</v>
      </c>
      <c r="E6" t="s">
        <v>193</v>
      </c>
      <c r="F6" t="s">
        <v>193</v>
      </c>
      <c r="G6" t="s">
        <v>193</v>
      </c>
      <c r="H6" t="s">
        <v>109</v>
      </c>
      <c r="I6" t="s">
        <v>116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9"/>
  <sheetViews>
    <sheetView workbookViewId="0">
      <pane xSplit="1" ySplit="2" topLeftCell="B36" activePane="bottomRight" state="frozen"/>
      <selection pane="topRight"/>
      <selection pane="bottomLeft"/>
      <selection pane="bottomRight" activeCell="B3" sqref="B3:H49"/>
    </sheetView>
  </sheetViews>
  <sheetFormatPr defaultColWidth="11" defaultRowHeight="15" x14ac:dyDescent="0.25"/>
  <cols>
    <col min="1" max="1" width="16.7109375" customWidth="1"/>
    <col min="2" max="8" width="15.7109375" customWidth="1"/>
  </cols>
  <sheetData>
    <row r="1" spans="1:8" x14ac:dyDescent="0.25">
      <c r="A1" s="1" t="s">
        <v>197</v>
      </c>
    </row>
    <row r="2" spans="1:8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</row>
    <row r="3" spans="1:8" x14ac:dyDescent="0.25">
      <c r="A3" t="s">
        <v>35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</row>
    <row r="4" spans="1:8" x14ac:dyDescent="0.25">
      <c r="A4" t="s">
        <v>36</v>
      </c>
      <c r="B4" s="4">
        <v>99.99</v>
      </c>
      <c r="C4" s="4">
        <v>113</v>
      </c>
      <c r="D4" s="4">
        <v>97.85</v>
      </c>
      <c r="E4" s="4">
        <v>95.05</v>
      </c>
      <c r="F4" s="4">
        <v>95.39</v>
      </c>
      <c r="G4" s="4">
        <v>90.35</v>
      </c>
      <c r="H4" s="4">
        <v>99.62</v>
      </c>
    </row>
    <row r="5" spans="1:8" x14ac:dyDescent="0.25">
      <c r="A5" t="s">
        <v>37</v>
      </c>
      <c r="B5" s="4">
        <v>95.23</v>
      </c>
      <c r="C5" s="4">
        <v>105.53</v>
      </c>
      <c r="D5" s="4">
        <v>91.88</v>
      </c>
      <c r="E5" s="4">
        <v>101.76</v>
      </c>
      <c r="F5" s="4">
        <v>90</v>
      </c>
      <c r="G5" s="4">
        <v>83.92</v>
      </c>
      <c r="H5" s="4">
        <v>97.81</v>
      </c>
    </row>
    <row r="6" spans="1:8" x14ac:dyDescent="0.25">
      <c r="A6" t="s">
        <v>38</v>
      </c>
      <c r="B6" s="4">
        <v>92.51</v>
      </c>
      <c r="C6" s="4">
        <v>103.77</v>
      </c>
      <c r="D6" s="4">
        <v>87.96</v>
      </c>
      <c r="E6" s="4">
        <v>107.18</v>
      </c>
      <c r="F6" s="4">
        <v>87.58</v>
      </c>
      <c r="G6" s="4">
        <v>82.48</v>
      </c>
      <c r="H6" s="4">
        <v>109.3</v>
      </c>
    </row>
    <row r="7" spans="1:8" x14ac:dyDescent="0.25">
      <c r="A7" t="s">
        <v>39</v>
      </c>
      <c r="B7" s="4">
        <v>89.93</v>
      </c>
      <c r="C7" s="4">
        <v>102.04</v>
      </c>
      <c r="D7" s="4">
        <v>83.97</v>
      </c>
      <c r="E7" s="4">
        <v>98.45</v>
      </c>
      <c r="F7" s="4">
        <v>91.03</v>
      </c>
      <c r="G7" s="4">
        <v>90.95</v>
      </c>
      <c r="H7" s="4">
        <v>100.14</v>
      </c>
    </row>
    <row r="8" spans="1:8" x14ac:dyDescent="0.25">
      <c r="A8" t="s">
        <v>40</v>
      </c>
      <c r="B8" s="4">
        <v>95.56</v>
      </c>
      <c r="C8" s="4">
        <v>98.83</v>
      </c>
      <c r="D8" s="4">
        <v>92.73</v>
      </c>
      <c r="E8" s="4">
        <v>103.35</v>
      </c>
      <c r="F8" s="4">
        <v>96.33</v>
      </c>
      <c r="G8" s="4">
        <v>91.01</v>
      </c>
      <c r="H8" s="4">
        <v>102.35</v>
      </c>
    </row>
    <row r="9" spans="1:8" x14ac:dyDescent="0.25">
      <c r="A9" t="s">
        <v>41</v>
      </c>
      <c r="B9" s="4">
        <v>101.48</v>
      </c>
      <c r="C9" s="4">
        <v>107.28</v>
      </c>
      <c r="D9" s="4">
        <v>96.26</v>
      </c>
      <c r="E9" s="4">
        <v>114.85</v>
      </c>
      <c r="F9" s="4">
        <v>100.39</v>
      </c>
      <c r="G9" s="4">
        <v>93.8</v>
      </c>
      <c r="H9" s="4">
        <v>113.36</v>
      </c>
    </row>
    <row r="10" spans="1:8" x14ac:dyDescent="0.25">
      <c r="A10" t="s">
        <v>42</v>
      </c>
      <c r="B10" s="4">
        <v>106.92</v>
      </c>
      <c r="C10" s="4">
        <v>108.13</v>
      </c>
      <c r="D10" s="4">
        <v>106.83</v>
      </c>
      <c r="E10" s="4">
        <v>106.58</v>
      </c>
      <c r="F10" s="4">
        <v>102</v>
      </c>
      <c r="G10" s="4">
        <v>101.27</v>
      </c>
      <c r="H10" s="4">
        <v>123.67</v>
      </c>
    </row>
    <row r="11" spans="1:8" x14ac:dyDescent="0.25">
      <c r="A11" t="s">
        <v>43</v>
      </c>
      <c r="B11" s="4">
        <v>111.37</v>
      </c>
      <c r="C11" s="4">
        <v>107.45</v>
      </c>
      <c r="D11" s="4">
        <v>113.48</v>
      </c>
      <c r="E11" s="4">
        <v>108.6</v>
      </c>
      <c r="F11" s="4">
        <v>108.58</v>
      </c>
      <c r="G11" s="4">
        <v>103.65</v>
      </c>
      <c r="H11" s="4">
        <v>128.13</v>
      </c>
    </row>
    <row r="12" spans="1:8" x14ac:dyDescent="0.25">
      <c r="A12" t="s">
        <v>44</v>
      </c>
      <c r="B12" s="4">
        <v>116.36</v>
      </c>
      <c r="C12" s="4">
        <v>120.78</v>
      </c>
      <c r="D12" s="4">
        <v>117.98</v>
      </c>
      <c r="E12" s="4">
        <v>114.18</v>
      </c>
      <c r="F12" s="4">
        <v>105.49</v>
      </c>
      <c r="G12" s="4">
        <v>112.67</v>
      </c>
      <c r="H12" s="4">
        <v>124.16</v>
      </c>
    </row>
    <row r="13" spans="1:8" x14ac:dyDescent="0.25">
      <c r="A13" t="s">
        <v>45</v>
      </c>
      <c r="B13" s="4">
        <v>123.58</v>
      </c>
      <c r="C13" s="4">
        <v>116.58</v>
      </c>
      <c r="D13" s="4">
        <v>125.15</v>
      </c>
      <c r="E13" s="4">
        <v>125.63</v>
      </c>
      <c r="F13" s="4">
        <v>108.62</v>
      </c>
      <c r="G13" s="4">
        <v>113.93</v>
      </c>
      <c r="H13" s="4">
        <v>146.5</v>
      </c>
    </row>
    <row r="14" spans="1:8" x14ac:dyDescent="0.25">
      <c r="A14" t="s">
        <v>46</v>
      </c>
      <c r="B14" s="4">
        <v>121</v>
      </c>
      <c r="C14" s="4">
        <v>115.21</v>
      </c>
      <c r="D14" s="4">
        <v>120.44</v>
      </c>
      <c r="E14" s="4">
        <v>129.01</v>
      </c>
      <c r="F14" s="4">
        <v>113.06</v>
      </c>
      <c r="G14" s="4">
        <v>111.32</v>
      </c>
      <c r="H14" s="4">
        <v>130.52000000000001</v>
      </c>
    </row>
    <row r="15" spans="1:8" x14ac:dyDescent="0.25">
      <c r="A15" t="s">
        <v>47</v>
      </c>
      <c r="B15" s="4">
        <v>120.86</v>
      </c>
      <c r="C15" s="4">
        <v>112.39</v>
      </c>
      <c r="D15" s="4">
        <v>122.16</v>
      </c>
      <c r="E15" s="4">
        <v>122.79</v>
      </c>
      <c r="F15" s="4">
        <v>110.31</v>
      </c>
      <c r="G15" s="4">
        <v>120.63</v>
      </c>
      <c r="H15" s="4">
        <v>132.11000000000001</v>
      </c>
    </row>
    <row r="16" spans="1:8" x14ac:dyDescent="0.25">
      <c r="A16" t="s">
        <v>48</v>
      </c>
      <c r="B16" s="4">
        <v>124.1</v>
      </c>
      <c r="C16" s="4">
        <v>113.23</v>
      </c>
      <c r="D16" s="4">
        <v>123.84</v>
      </c>
      <c r="E16" s="4">
        <v>121.5</v>
      </c>
      <c r="F16" s="4">
        <v>124.9</v>
      </c>
      <c r="G16" s="4">
        <v>121.12</v>
      </c>
      <c r="H16" s="4">
        <v>142.59</v>
      </c>
    </row>
    <row r="17" spans="1:8" x14ac:dyDescent="0.25">
      <c r="A17" t="s">
        <v>49</v>
      </c>
      <c r="B17" s="4">
        <v>123.6</v>
      </c>
      <c r="C17" s="4">
        <v>126.83</v>
      </c>
      <c r="D17" s="4">
        <v>118.97</v>
      </c>
      <c r="E17" s="4">
        <v>127.7</v>
      </c>
      <c r="F17" s="4">
        <v>126</v>
      </c>
      <c r="G17" s="4">
        <v>121.66</v>
      </c>
      <c r="H17" s="4">
        <v>140.71</v>
      </c>
    </row>
    <row r="18" spans="1:8" x14ac:dyDescent="0.25">
      <c r="A18" t="s">
        <v>50</v>
      </c>
      <c r="B18" s="4">
        <v>130.78</v>
      </c>
      <c r="C18" s="4">
        <v>127.19</v>
      </c>
      <c r="D18" s="4">
        <v>128.16999999999999</v>
      </c>
      <c r="E18" s="4">
        <v>133.72999999999999</v>
      </c>
      <c r="F18" s="4">
        <v>127.22</v>
      </c>
      <c r="G18" s="4">
        <v>120.94</v>
      </c>
      <c r="H18" s="4">
        <v>155.9</v>
      </c>
    </row>
    <row r="19" spans="1:8" x14ac:dyDescent="0.25">
      <c r="A19" t="s">
        <v>51</v>
      </c>
      <c r="B19" s="4">
        <v>129.69</v>
      </c>
      <c r="C19" s="4">
        <v>123.4</v>
      </c>
      <c r="D19" s="4">
        <v>125.65</v>
      </c>
      <c r="E19" s="4">
        <v>135.36000000000001</v>
      </c>
      <c r="F19" s="4">
        <v>127.64</v>
      </c>
      <c r="G19" s="4">
        <v>121.2</v>
      </c>
      <c r="H19" s="4">
        <v>151.47999999999999</v>
      </c>
    </row>
    <row r="20" spans="1:8" x14ac:dyDescent="0.25">
      <c r="A20" t="s">
        <v>52</v>
      </c>
      <c r="B20" s="4">
        <v>132.97</v>
      </c>
      <c r="C20" s="4">
        <v>125.37</v>
      </c>
      <c r="D20" s="4">
        <v>129.13999999999999</v>
      </c>
      <c r="E20" s="4">
        <v>139.87</v>
      </c>
      <c r="F20" s="4">
        <v>138.69</v>
      </c>
      <c r="G20" s="4">
        <v>123.3</v>
      </c>
      <c r="H20" s="4">
        <v>143.85</v>
      </c>
    </row>
    <row r="21" spans="1:8" x14ac:dyDescent="0.25">
      <c r="A21" t="s">
        <v>53</v>
      </c>
      <c r="B21" s="4">
        <v>130.65</v>
      </c>
      <c r="C21" s="4">
        <v>141.51</v>
      </c>
      <c r="D21" s="4">
        <v>122.48</v>
      </c>
      <c r="E21" s="4">
        <v>140.38</v>
      </c>
      <c r="F21" s="4">
        <v>129.84</v>
      </c>
      <c r="G21" s="4">
        <v>108.76</v>
      </c>
      <c r="H21" s="4">
        <v>152.26</v>
      </c>
    </row>
    <row r="22" spans="1:8" x14ac:dyDescent="0.25">
      <c r="A22" t="s">
        <v>54</v>
      </c>
      <c r="B22" s="4">
        <v>132.06</v>
      </c>
      <c r="C22" s="4">
        <v>136.72999999999999</v>
      </c>
      <c r="D22" s="4">
        <v>123.6</v>
      </c>
      <c r="E22" s="4">
        <v>143.24</v>
      </c>
      <c r="F22" s="4">
        <v>134.93</v>
      </c>
      <c r="G22" s="4">
        <v>120.16</v>
      </c>
      <c r="H22" s="4">
        <v>155.52000000000001</v>
      </c>
    </row>
    <row r="23" spans="1:8" x14ac:dyDescent="0.25">
      <c r="A23" t="s">
        <v>55</v>
      </c>
      <c r="B23" s="4">
        <v>136.82</v>
      </c>
      <c r="C23" s="4">
        <v>138.44</v>
      </c>
      <c r="D23" s="4">
        <v>129.16</v>
      </c>
      <c r="E23" s="4">
        <v>141.12</v>
      </c>
      <c r="F23" s="4">
        <v>146.69</v>
      </c>
      <c r="G23" s="4">
        <v>124.52</v>
      </c>
      <c r="H23" s="4">
        <v>163.41999999999999</v>
      </c>
    </row>
    <row r="24" spans="1:8" x14ac:dyDescent="0.25">
      <c r="A24" t="s">
        <v>56</v>
      </c>
      <c r="B24" s="4">
        <v>149.04</v>
      </c>
      <c r="C24" s="4">
        <v>154.25</v>
      </c>
      <c r="D24" s="4">
        <v>141.69</v>
      </c>
      <c r="E24" s="4">
        <v>144.83000000000001</v>
      </c>
      <c r="F24" s="4">
        <v>156.69999999999999</v>
      </c>
      <c r="G24" s="4">
        <v>134.13999999999999</v>
      </c>
      <c r="H24" s="4">
        <v>180.34</v>
      </c>
    </row>
    <row r="25" spans="1:8" x14ac:dyDescent="0.25">
      <c r="A25" t="s">
        <v>57</v>
      </c>
      <c r="B25" s="4">
        <v>148.4</v>
      </c>
      <c r="C25" s="4">
        <v>163.71</v>
      </c>
      <c r="D25" s="4">
        <v>136.6</v>
      </c>
      <c r="E25" s="4">
        <v>148.63999999999999</v>
      </c>
      <c r="F25" s="4">
        <v>152.49</v>
      </c>
      <c r="G25" s="4">
        <v>125.74</v>
      </c>
      <c r="H25" s="4">
        <v>199.01</v>
      </c>
    </row>
    <row r="26" spans="1:8" x14ac:dyDescent="0.25">
      <c r="A26" t="s">
        <v>58</v>
      </c>
      <c r="B26" s="4">
        <v>153.69</v>
      </c>
      <c r="C26" s="4">
        <v>163.41</v>
      </c>
      <c r="D26" s="4">
        <v>143.11000000000001</v>
      </c>
      <c r="E26" s="4">
        <v>155.72999999999999</v>
      </c>
      <c r="F26" s="4">
        <v>161.47999999999999</v>
      </c>
      <c r="G26" s="4">
        <v>130.88999999999999</v>
      </c>
      <c r="H26" s="4">
        <v>171.3</v>
      </c>
    </row>
    <row r="27" spans="1:8" x14ac:dyDescent="0.25">
      <c r="A27" t="s">
        <v>59</v>
      </c>
      <c r="B27" s="4">
        <v>143.71</v>
      </c>
      <c r="C27" s="4">
        <v>153.11000000000001</v>
      </c>
      <c r="D27" s="4">
        <v>129.63999999999999</v>
      </c>
      <c r="E27" s="4">
        <v>150.96</v>
      </c>
      <c r="F27" s="4">
        <v>162.33000000000001</v>
      </c>
      <c r="G27" s="4">
        <v>146.49</v>
      </c>
      <c r="H27" s="4">
        <v>164.73</v>
      </c>
    </row>
    <row r="28" spans="1:8" x14ac:dyDescent="0.25">
      <c r="A28" t="s">
        <v>60</v>
      </c>
      <c r="B28" s="4">
        <v>156.18</v>
      </c>
      <c r="C28" s="4">
        <v>170.71</v>
      </c>
      <c r="D28" s="4">
        <v>139.75</v>
      </c>
      <c r="E28" s="4">
        <v>169.45</v>
      </c>
      <c r="F28" s="4">
        <v>172.11</v>
      </c>
      <c r="G28" s="4">
        <v>149.53</v>
      </c>
      <c r="H28" s="4">
        <v>179.43</v>
      </c>
    </row>
    <row r="29" spans="1:8" x14ac:dyDescent="0.25">
      <c r="A29" t="s">
        <v>61</v>
      </c>
      <c r="B29" s="4">
        <v>157.87</v>
      </c>
      <c r="C29" s="4">
        <v>176.64</v>
      </c>
      <c r="D29" s="4">
        <v>143.08000000000001</v>
      </c>
      <c r="E29" s="4">
        <v>169.76</v>
      </c>
      <c r="F29" s="4">
        <v>168.24</v>
      </c>
      <c r="G29" s="4">
        <v>155.12</v>
      </c>
      <c r="H29" s="4">
        <v>161.94999999999999</v>
      </c>
    </row>
    <row r="30" spans="1:8" x14ac:dyDescent="0.25">
      <c r="A30" t="s">
        <v>62</v>
      </c>
      <c r="B30" s="4">
        <v>160.43</v>
      </c>
      <c r="C30" s="4">
        <v>179.15</v>
      </c>
      <c r="D30" s="4">
        <v>145</v>
      </c>
      <c r="E30" s="4">
        <v>177.76</v>
      </c>
      <c r="F30" s="4">
        <v>156.01</v>
      </c>
      <c r="G30" s="4">
        <v>173.86</v>
      </c>
      <c r="H30" s="4">
        <v>170.13</v>
      </c>
    </row>
    <row r="31" spans="1:8" x14ac:dyDescent="0.25">
      <c r="A31" t="s">
        <v>63</v>
      </c>
      <c r="B31" s="4">
        <v>162.41999999999999</v>
      </c>
      <c r="C31" s="4">
        <v>170.69</v>
      </c>
      <c r="D31" s="4">
        <v>144.61000000000001</v>
      </c>
      <c r="E31" s="4">
        <v>182.29</v>
      </c>
      <c r="F31" s="4">
        <v>169.87</v>
      </c>
      <c r="G31" s="4">
        <v>174.35</v>
      </c>
      <c r="H31" s="4">
        <v>182.2</v>
      </c>
    </row>
    <row r="32" spans="1:8" x14ac:dyDescent="0.25">
      <c r="A32" t="s">
        <v>64</v>
      </c>
      <c r="B32" s="4">
        <v>156.88</v>
      </c>
      <c r="C32" s="4">
        <v>171.5</v>
      </c>
      <c r="D32" s="4">
        <v>138.13</v>
      </c>
      <c r="E32" s="4">
        <v>182.93</v>
      </c>
      <c r="F32" s="4">
        <v>154</v>
      </c>
      <c r="G32" s="4">
        <v>175.38</v>
      </c>
      <c r="H32" s="4">
        <v>181.22</v>
      </c>
    </row>
    <row r="33" spans="1:8" x14ac:dyDescent="0.25">
      <c r="A33" t="s">
        <v>65</v>
      </c>
      <c r="B33" s="4">
        <v>159.57</v>
      </c>
      <c r="C33" s="4">
        <v>167.69</v>
      </c>
      <c r="D33" s="4">
        <v>141.54</v>
      </c>
      <c r="E33" s="4">
        <v>179.91</v>
      </c>
      <c r="F33" s="4">
        <v>158.18</v>
      </c>
      <c r="G33" s="4">
        <v>169.26</v>
      </c>
      <c r="H33" s="4">
        <v>189.62</v>
      </c>
    </row>
    <row r="34" spans="1:8" x14ac:dyDescent="0.25">
      <c r="A34" t="s">
        <v>66</v>
      </c>
      <c r="B34" s="4">
        <v>164.77</v>
      </c>
      <c r="C34" s="4">
        <v>174.45</v>
      </c>
      <c r="D34" s="4">
        <v>150.22999999999999</v>
      </c>
      <c r="E34" s="4">
        <v>175.08</v>
      </c>
      <c r="F34" s="4">
        <v>166.67</v>
      </c>
      <c r="G34" s="4">
        <v>167.16</v>
      </c>
      <c r="H34" s="4">
        <v>168.48</v>
      </c>
    </row>
    <row r="35" spans="1:8" x14ac:dyDescent="0.25">
      <c r="A35" t="s">
        <v>67</v>
      </c>
      <c r="B35" s="4">
        <v>164.79</v>
      </c>
      <c r="C35" s="4">
        <v>169.12</v>
      </c>
      <c r="D35" s="4">
        <v>149.24</v>
      </c>
      <c r="E35" s="4">
        <v>161.88999999999999</v>
      </c>
      <c r="F35" s="4">
        <v>163.22999999999999</v>
      </c>
      <c r="G35" s="4">
        <v>166.17</v>
      </c>
      <c r="H35" s="4">
        <v>206.17</v>
      </c>
    </row>
    <row r="36" spans="1:8" x14ac:dyDescent="0.25">
      <c r="A36" t="s">
        <v>68</v>
      </c>
      <c r="B36" s="4">
        <v>164.2</v>
      </c>
      <c r="C36" s="4">
        <v>174.81</v>
      </c>
      <c r="D36" s="4">
        <v>148.30000000000001</v>
      </c>
      <c r="E36" s="4">
        <v>157.25</v>
      </c>
      <c r="F36" s="4">
        <v>167.22</v>
      </c>
      <c r="G36" s="4">
        <v>143.99</v>
      </c>
      <c r="H36" s="4">
        <v>197.34</v>
      </c>
    </row>
    <row r="37" spans="1:8" x14ac:dyDescent="0.25">
      <c r="A37" t="s">
        <v>69</v>
      </c>
      <c r="B37" s="4">
        <v>152.31</v>
      </c>
      <c r="C37" s="4">
        <v>168.83</v>
      </c>
      <c r="D37" s="4">
        <v>140.66</v>
      </c>
      <c r="E37" s="4">
        <v>129.05000000000001</v>
      </c>
      <c r="F37" s="4">
        <v>159.38</v>
      </c>
      <c r="G37" s="4">
        <v>145.11000000000001</v>
      </c>
      <c r="H37" s="4">
        <v>172.53</v>
      </c>
    </row>
    <row r="38" spans="1:8" x14ac:dyDescent="0.25">
      <c r="A38" t="s">
        <v>70</v>
      </c>
      <c r="B38" s="4">
        <v>154.9</v>
      </c>
      <c r="C38" s="4">
        <v>164.69</v>
      </c>
      <c r="D38" s="4">
        <v>138.18</v>
      </c>
      <c r="E38" s="4">
        <v>160.56</v>
      </c>
      <c r="F38" s="4">
        <v>161.97999999999999</v>
      </c>
      <c r="G38" s="4">
        <v>151.03</v>
      </c>
      <c r="H38" s="4">
        <v>172.27</v>
      </c>
    </row>
    <row r="39" spans="1:8" x14ac:dyDescent="0.25">
      <c r="A39" t="s">
        <v>71</v>
      </c>
      <c r="B39" s="4">
        <v>151.08000000000001</v>
      </c>
      <c r="C39" s="4">
        <v>176.53</v>
      </c>
      <c r="D39" s="4">
        <v>133.04</v>
      </c>
      <c r="E39" s="4">
        <v>143.86000000000001</v>
      </c>
      <c r="F39" s="4">
        <v>156.54</v>
      </c>
      <c r="G39" s="4">
        <v>147.75</v>
      </c>
      <c r="H39" s="4">
        <v>175.63</v>
      </c>
    </row>
    <row r="40" spans="1:8" x14ac:dyDescent="0.25">
      <c r="A40" t="s">
        <v>72</v>
      </c>
      <c r="B40" s="4">
        <v>148.09</v>
      </c>
      <c r="C40" s="4">
        <v>166.24</v>
      </c>
      <c r="D40" s="4">
        <v>128.38</v>
      </c>
      <c r="E40" s="4">
        <v>162.72</v>
      </c>
      <c r="F40" s="4">
        <v>159.38</v>
      </c>
      <c r="G40" s="4">
        <v>153.88</v>
      </c>
      <c r="H40" s="4">
        <v>169.15</v>
      </c>
    </row>
    <row r="41" spans="1:8" x14ac:dyDescent="0.25">
      <c r="A41" t="s">
        <v>73</v>
      </c>
      <c r="B41" s="4">
        <v>154.02000000000001</v>
      </c>
      <c r="C41" s="4">
        <v>172.77</v>
      </c>
      <c r="D41" s="4">
        <v>133.47</v>
      </c>
      <c r="E41" s="4">
        <v>167.08</v>
      </c>
      <c r="F41" s="4">
        <v>162.30000000000001</v>
      </c>
      <c r="G41" s="4">
        <v>156.16</v>
      </c>
      <c r="H41" s="4">
        <v>183.05</v>
      </c>
    </row>
    <row r="42" spans="1:8" x14ac:dyDescent="0.25">
      <c r="A42" t="s">
        <v>74</v>
      </c>
      <c r="B42" s="4">
        <v>156.79</v>
      </c>
      <c r="C42" s="4">
        <v>165.09</v>
      </c>
      <c r="D42" s="4">
        <v>138.93</v>
      </c>
      <c r="E42" s="4">
        <v>155.91999999999999</v>
      </c>
      <c r="F42" s="4">
        <v>170.44</v>
      </c>
      <c r="G42" s="4">
        <v>151.02000000000001</v>
      </c>
      <c r="H42" s="4">
        <v>185.02</v>
      </c>
    </row>
    <row r="43" spans="1:8" x14ac:dyDescent="0.25">
      <c r="A43" t="s">
        <v>75</v>
      </c>
      <c r="B43" s="4">
        <v>159.41</v>
      </c>
      <c r="C43" s="4">
        <v>173.89</v>
      </c>
      <c r="D43" s="4">
        <v>137.97</v>
      </c>
      <c r="E43" s="4">
        <v>163.9</v>
      </c>
      <c r="F43" s="4">
        <v>175.65</v>
      </c>
      <c r="G43" s="4">
        <v>167.81</v>
      </c>
      <c r="H43" s="4">
        <v>188.56</v>
      </c>
    </row>
    <row r="44" spans="1:8" x14ac:dyDescent="0.25">
      <c r="A44" t="s">
        <v>76</v>
      </c>
      <c r="B44" s="4">
        <v>143.25</v>
      </c>
      <c r="C44" s="4">
        <v>144.56</v>
      </c>
      <c r="D44" s="4">
        <v>126.2</v>
      </c>
      <c r="E44" s="4">
        <v>138.83000000000001</v>
      </c>
      <c r="F44" s="4">
        <v>153.78</v>
      </c>
      <c r="G44" s="4">
        <v>151.88999999999999</v>
      </c>
      <c r="H44" s="4">
        <v>177.79</v>
      </c>
    </row>
    <row r="45" spans="1:8" x14ac:dyDescent="0.25">
      <c r="A45" t="s">
        <v>77</v>
      </c>
      <c r="B45" s="4">
        <v>157.01</v>
      </c>
      <c r="C45" s="4">
        <v>166.46</v>
      </c>
      <c r="D45" s="4">
        <v>141.03</v>
      </c>
      <c r="E45" s="4">
        <v>148.19999999999999</v>
      </c>
      <c r="F45" s="4">
        <v>158.21</v>
      </c>
      <c r="G45" s="4">
        <v>150.66999999999999</v>
      </c>
      <c r="H45" s="4">
        <v>175.48</v>
      </c>
    </row>
    <row r="46" spans="1:8" x14ac:dyDescent="0.25">
      <c r="A46" t="s">
        <v>78</v>
      </c>
      <c r="B46" s="4">
        <v>160.43</v>
      </c>
      <c r="C46" s="4">
        <v>169.31</v>
      </c>
      <c r="D46" s="4">
        <v>144.30000000000001</v>
      </c>
      <c r="E46" s="4">
        <v>160.78</v>
      </c>
      <c r="F46" s="4">
        <v>162.11000000000001</v>
      </c>
      <c r="G46" s="4">
        <v>151.18</v>
      </c>
      <c r="H46" s="4">
        <v>174.37</v>
      </c>
    </row>
    <row r="47" spans="1:8" x14ac:dyDescent="0.25">
      <c r="A47" t="s">
        <v>79</v>
      </c>
      <c r="B47" s="4">
        <v>141.77000000000001</v>
      </c>
      <c r="C47" s="4">
        <v>140.52000000000001</v>
      </c>
      <c r="D47" s="4">
        <v>127.18</v>
      </c>
      <c r="E47" s="4">
        <v>136.63</v>
      </c>
      <c r="F47" s="4">
        <v>147.16</v>
      </c>
      <c r="G47" s="4">
        <v>152</v>
      </c>
      <c r="H47" s="4">
        <v>157.93</v>
      </c>
    </row>
    <row r="48" spans="1:8" x14ac:dyDescent="0.25">
      <c r="A48" t="s">
        <v>80</v>
      </c>
      <c r="B48" s="4">
        <v>146.05000000000001</v>
      </c>
      <c r="C48" s="4">
        <v>148.80000000000001</v>
      </c>
      <c r="D48" s="4">
        <v>128.72999999999999</v>
      </c>
      <c r="E48" s="4">
        <v>144.72</v>
      </c>
      <c r="F48" s="4">
        <v>154.97</v>
      </c>
      <c r="G48" s="4">
        <v>144.01</v>
      </c>
      <c r="H48" s="4">
        <v>175.92</v>
      </c>
    </row>
    <row r="49" spans="1:8" x14ac:dyDescent="0.25">
      <c r="A49" t="s">
        <v>81</v>
      </c>
      <c r="B49" s="4">
        <v>151.69999999999999</v>
      </c>
      <c r="C49" s="4">
        <v>160.34</v>
      </c>
      <c r="D49" s="4">
        <v>133.61000000000001</v>
      </c>
      <c r="E49" s="4">
        <v>154.46</v>
      </c>
      <c r="F49" s="4">
        <v>151.77000000000001</v>
      </c>
      <c r="G49" s="4">
        <v>148.56</v>
      </c>
      <c r="H49" s="4">
        <v>178.15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"/>
  <sheetViews>
    <sheetView workbookViewId="0"/>
  </sheetViews>
  <sheetFormatPr defaultColWidth="11" defaultRowHeight="15" x14ac:dyDescent="0.25"/>
  <cols>
    <col min="1" max="1" width="16.7109375" customWidth="1"/>
    <col min="2" max="8" width="15.7109375" customWidth="1"/>
  </cols>
  <sheetData>
    <row r="1" spans="1:8" x14ac:dyDescent="0.25">
      <c r="A1" s="1" t="s">
        <v>199</v>
      </c>
    </row>
    <row r="2" spans="1:8" x14ac:dyDescent="0.25">
      <c r="A2" t="s">
        <v>95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</row>
    <row r="3" spans="1:8" x14ac:dyDescent="0.25">
      <c r="A3" t="s">
        <v>200</v>
      </c>
      <c r="B3" t="s">
        <v>129</v>
      </c>
      <c r="C3" t="s">
        <v>99</v>
      </c>
      <c r="D3" t="s">
        <v>109</v>
      </c>
      <c r="E3" t="s">
        <v>97</v>
      </c>
      <c r="F3" t="s">
        <v>105</v>
      </c>
      <c r="G3" t="s">
        <v>105</v>
      </c>
      <c r="H3" t="s">
        <v>105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9"/>
  <sheetViews>
    <sheetView workbookViewId="0"/>
  </sheetViews>
  <sheetFormatPr defaultColWidth="11" defaultRowHeight="15" x14ac:dyDescent="0.25"/>
  <cols>
    <col min="1" max="1" width="16.7109375" customWidth="1"/>
    <col min="2" max="6" width="15.7109375" customWidth="1"/>
  </cols>
  <sheetData>
    <row r="1" spans="1:6" x14ac:dyDescent="0.25">
      <c r="A1" s="1" t="s">
        <v>202</v>
      </c>
    </row>
    <row r="2" spans="1:6" x14ac:dyDescent="0.25">
      <c r="A2" t="s">
        <v>95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</row>
    <row r="3" spans="1:6" x14ac:dyDescent="0.25">
      <c r="A3" t="s">
        <v>26</v>
      </c>
      <c r="B3" t="s">
        <v>156</v>
      </c>
      <c r="C3" t="s">
        <v>142</v>
      </c>
      <c r="D3" t="s">
        <v>151</v>
      </c>
      <c r="E3" t="s">
        <v>115</v>
      </c>
      <c r="F3" t="s">
        <v>118</v>
      </c>
    </row>
    <row r="4" spans="1:6" x14ac:dyDescent="0.25">
      <c r="A4" t="s">
        <v>27</v>
      </c>
      <c r="B4" t="s">
        <v>130</v>
      </c>
      <c r="C4" t="s">
        <v>144</v>
      </c>
      <c r="D4" t="s">
        <v>203</v>
      </c>
      <c r="E4" t="s">
        <v>204</v>
      </c>
      <c r="F4" t="s">
        <v>127</v>
      </c>
    </row>
    <row r="5" spans="1:6" x14ac:dyDescent="0.25">
      <c r="A5" t="s">
        <v>28</v>
      </c>
      <c r="B5" t="s">
        <v>124</v>
      </c>
      <c r="C5" t="s">
        <v>168</v>
      </c>
      <c r="D5" t="s">
        <v>146</v>
      </c>
      <c r="E5" t="s">
        <v>205</v>
      </c>
      <c r="F5" t="s">
        <v>129</v>
      </c>
    </row>
    <row r="6" spans="1:6" x14ac:dyDescent="0.25">
      <c r="A6" t="s">
        <v>29</v>
      </c>
      <c r="B6" t="s">
        <v>139</v>
      </c>
      <c r="C6" t="s">
        <v>206</v>
      </c>
      <c r="D6" t="s">
        <v>207</v>
      </c>
      <c r="E6" t="s">
        <v>173</v>
      </c>
      <c r="F6" t="s">
        <v>157</v>
      </c>
    </row>
    <row r="7" spans="1:6" x14ac:dyDescent="0.25">
      <c r="A7" t="s">
        <v>30</v>
      </c>
      <c r="B7" t="s">
        <v>130</v>
      </c>
      <c r="C7" t="s">
        <v>140</v>
      </c>
      <c r="D7" t="s">
        <v>133</v>
      </c>
      <c r="E7" t="s">
        <v>104</v>
      </c>
      <c r="F7" t="s">
        <v>127</v>
      </c>
    </row>
    <row r="8" spans="1:6" x14ac:dyDescent="0.25">
      <c r="A8" t="s">
        <v>31</v>
      </c>
      <c r="B8" t="s">
        <v>131</v>
      </c>
      <c r="C8" t="s">
        <v>208</v>
      </c>
      <c r="D8" t="s">
        <v>131</v>
      </c>
      <c r="E8" t="s">
        <v>104</v>
      </c>
      <c r="F8" t="s">
        <v>112</v>
      </c>
    </row>
    <row r="9" spans="1:6" x14ac:dyDescent="0.25">
      <c r="A9" t="s">
        <v>32</v>
      </c>
      <c r="B9" t="s">
        <v>194</v>
      </c>
      <c r="C9" t="s">
        <v>133</v>
      </c>
      <c r="D9" t="s">
        <v>132</v>
      </c>
      <c r="E9" t="s">
        <v>209</v>
      </c>
      <c r="F9" t="s">
        <v>210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9"/>
  <sheetViews>
    <sheetView workbookViewId="0">
      <pane xSplit="1" ySplit="2" topLeftCell="B27" activePane="bottomRight" state="frozen"/>
      <selection pane="topRight"/>
      <selection pane="bottomLeft"/>
      <selection pane="bottomRight" activeCell="F14" sqref="F14"/>
    </sheetView>
  </sheetViews>
  <sheetFormatPr defaultColWidth="11" defaultRowHeight="15" x14ac:dyDescent="0.25"/>
  <cols>
    <col min="1" max="1" width="16.7109375" customWidth="1"/>
    <col min="2" max="12" width="15.7109375" customWidth="1"/>
  </cols>
  <sheetData>
    <row r="1" spans="1:12" x14ac:dyDescent="0.25">
      <c r="A1" s="1" t="s">
        <v>213</v>
      </c>
    </row>
    <row r="2" spans="1:12" x14ac:dyDescent="0.25">
      <c r="A2" t="s">
        <v>25</v>
      </c>
      <c r="B2" t="s">
        <v>26</v>
      </c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</row>
    <row r="3" spans="1:12" x14ac:dyDescent="0.25">
      <c r="A3" t="s">
        <v>35</v>
      </c>
      <c r="B3" s="4">
        <v>100</v>
      </c>
      <c r="C3" s="4">
        <v>100</v>
      </c>
      <c r="D3" s="4">
        <v>100</v>
      </c>
      <c r="E3" s="4">
        <v>100</v>
      </c>
      <c r="F3" s="4">
        <v>100</v>
      </c>
      <c r="G3" s="4">
        <v>100</v>
      </c>
      <c r="H3" s="4">
        <v>100</v>
      </c>
      <c r="I3" s="4">
        <v>100</v>
      </c>
      <c r="J3" s="4">
        <v>100</v>
      </c>
      <c r="K3" s="4">
        <v>100</v>
      </c>
      <c r="L3" s="4">
        <v>100</v>
      </c>
    </row>
    <row r="4" spans="1:12" x14ac:dyDescent="0.25">
      <c r="A4" t="s">
        <v>36</v>
      </c>
      <c r="B4" s="4">
        <v>99.99</v>
      </c>
      <c r="C4" s="4">
        <v>98.76</v>
      </c>
      <c r="D4" s="4">
        <v>109.67</v>
      </c>
      <c r="E4" s="4">
        <v>101.06</v>
      </c>
      <c r="F4" s="4">
        <v>101.96</v>
      </c>
      <c r="G4" s="4">
        <v>95.42</v>
      </c>
      <c r="H4" s="4">
        <v>93.74</v>
      </c>
      <c r="I4" s="4">
        <v>95.05</v>
      </c>
      <c r="J4" s="4">
        <v>95.39</v>
      </c>
      <c r="K4" s="4">
        <v>90.35</v>
      </c>
      <c r="L4" s="4">
        <v>99.62</v>
      </c>
    </row>
    <row r="5" spans="1:12" x14ac:dyDescent="0.25">
      <c r="A5" t="s">
        <v>37</v>
      </c>
      <c r="B5" s="4">
        <v>95.23</v>
      </c>
      <c r="C5" s="4">
        <v>92.49</v>
      </c>
      <c r="D5" s="4">
        <v>102.84</v>
      </c>
      <c r="E5" s="4">
        <v>85.08</v>
      </c>
      <c r="F5" s="4">
        <v>93.1</v>
      </c>
      <c r="G5" s="4">
        <v>98.04</v>
      </c>
      <c r="H5" s="4">
        <v>85.65</v>
      </c>
      <c r="I5" s="4">
        <v>101.76</v>
      </c>
      <c r="J5" s="4">
        <v>90</v>
      </c>
      <c r="K5" s="4">
        <v>83.92</v>
      </c>
      <c r="L5" s="4">
        <v>97.81</v>
      </c>
    </row>
    <row r="6" spans="1:12" x14ac:dyDescent="0.25">
      <c r="A6" t="s">
        <v>38</v>
      </c>
      <c r="B6" s="4">
        <v>92.51</v>
      </c>
      <c r="C6" s="4">
        <v>96.32</v>
      </c>
      <c r="D6" s="4">
        <v>99.85</v>
      </c>
      <c r="E6" s="4">
        <v>85.03</v>
      </c>
      <c r="F6" s="4">
        <v>92.39</v>
      </c>
      <c r="G6" s="4">
        <v>84.98</v>
      </c>
      <c r="H6" s="4">
        <v>85.77</v>
      </c>
      <c r="I6" s="4">
        <v>107.18</v>
      </c>
      <c r="J6" s="4">
        <v>87.58</v>
      </c>
      <c r="K6" s="4">
        <v>82.48</v>
      </c>
      <c r="L6" s="4">
        <v>109.3</v>
      </c>
    </row>
    <row r="7" spans="1:12" x14ac:dyDescent="0.25">
      <c r="A7" t="s">
        <v>39</v>
      </c>
      <c r="B7" s="4">
        <v>89.93</v>
      </c>
      <c r="C7" s="4">
        <v>97.18</v>
      </c>
      <c r="D7" s="4">
        <v>98.91</v>
      </c>
      <c r="E7" s="4">
        <v>72.48</v>
      </c>
      <c r="F7" s="4">
        <v>93.2</v>
      </c>
      <c r="G7" s="4">
        <v>79.11</v>
      </c>
      <c r="H7" s="4">
        <v>82.08</v>
      </c>
      <c r="I7" s="4">
        <v>98.45</v>
      </c>
      <c r="J7" s="4">
        <v>91.03</v>
      </c>
      <c r="K7" s="4">
        <v>90.95</v>
      </c>
      <c r="L7" s="4">
        <v>100.14</v>
      </c>
    </row>
    <row r="8" spans="1:12" x14ac:dyDescent="0.25">
      <c r="A8" t="s">
        <v>40</v>
      </c>
      <c r="B8" s="4">
        <v>95.56</v>
      </c>
      <c r="C8" s="4">
        <v>88.13</v>
      </c>
      <c r="D8" s="4">
        <v>93.96</v>
      </c>
      <c r="E8" s="4">
        <v>86.95</v>
      </c>
      <c r="F8" s="4">
        <v>100.18</v>
      </c>
      <c r="G8" s="4">
        <v>85.33</v>
      </c>
      <c r="H8" s="4">
        <v>96.03</v>
      </c>
      <c r="I8" s="4">
        <v>103.35</v>
      </c>
      <c r="J8" s="4">
        <v>96.33</v>
      </c>
      <c r="K8" s="4">
        <v>91.01</v>
      </c>
      <c r="L8" s="4">
        <v>102.35</v>
      </c>
    </row>
    <row r="9" spans="1:12" x14ac:dyDescent="0.25">
      <c r="A9" t="s">
        <v>41</v>
      </c>
      <c r="B9" s="4">
        <v>101.48</v>
      </c>
      <c r="C9" s="4">
        <v>82.82</v>
      </c>
      <c r="D9" s="4">
        <v>109.44</v>
      </c>
      <c r="E9" s="4">
        <v>87.44</v>
      </c>
      <c r="F9" s="4">
        <v>109.89</v>
      </c>
      <c r="G9" s="4">
        <v>94.8</v>
      </c>
      <c r="H9" s="4">
        <v>88.8</v>
      </c>
      <c r="I9" s="4">
        <v>114.85</v>
      </c>
      <c r="J9" s="4">
        <v>100.39</v>
      </c>
      <c r="K9" s="4">
        <v>93.8</v>
      </c>
      <c r="L9" s="4">
        <v>113.36</v>
      </c>
    </row>
    <row r="10" spans="1:12" x14ac:dyDescent="0.25">
      <c r="A10" t="s">
        <v>42</v>
      </c>
      <c r="B10" s="4">
        <v>106.92</v>
      </c>
      <c r="C10" s="4">
        <v>87.95</v>
      </c>
      <c r="D10" s="4">
        <v>107.94</v>
      </c>
      <c r="E10" s="4">
        <v>91.77</v>
      </c>
      <c r="F10" s="4">
        <v>116.25</v>
      </c>
      <c r="G10" s="4">
        <v>103.12</v>
      </c>
      <c r="H10" s="4">
        <v>102.98</v>
      </c>
      <c r="I10" s="4">
        <v>106.58</v>
      </c>
      <c r="J10" s="4">
        <v>102</v>
      </c>
      <c r="K10" s="4">
        <v>101.27</v>
      </c>
      <c r="L10" s="4">
        <v>123.67</v>
      </c>
    </row>
    <row r="11" spans="1:12" x14ac:dyDescent="0.25">
      <c r="A11" t="s">
        <v>43</v>
      </c>
      <c r="B11" s="4">
        <v>111.37</v>
      </c>
      <c r="C11" s="4">
        <v>90.9</v>
      </c>
      <c r="D11" s="4">
        <v>104.36</v>
      </c>
      <c r="E11" s="4">
        <v>93.98</v>
      </c>
      <c r="F11" s="4">
        <v>126.15</v>
      </c>
      <c r="G11" s="4">
        <v>114.12</v>
      </c>
      <c r="H11" s="4">
        <v>101.98</v>
      </c>
      <c r="I11" s="4">
        <v>108.6</v>
      </c>
      <c r="J11" s="4">
        <v>108.58</v>
      </c>
      <c r="K11" s="4">
        <v>103.65</v>
      </c>
      <c r="L11" s="4">
        <v>128.13</v>
      </c>
    </row>
    <row r="12" spans="1:12" x14ac:dyDescent="0.25">
      <c r="A12" t="s">
        <v>44</v>
      </c>
      <c r="B12" s="4">
        <v>116.36</v>
      </c>
      <c r="C12" s="4">
        <v>103.97</v>
      </c>
      <c r="D12" s="4">
        <v>117.73</v>
      </c>
      <c r="E12" s="4">
        <v>101.28</v>
      </c>
      <c r="F12" s="4">
        <v>126.38</v>
      </c>
      <c r="G12" s="4">
        <v>116.55</v>
      </c>
      <c r="H12" s="4">
        <v>112.19</v>
      </c>
      <c r="I12" s="4">
        <v>114.18</v>
      </c>
      <c r="J12" s="4">
        <v>105.49</v>
      </c>
      <c r="K12" s="4">
        <v>112.67</v>
      </c>
      <c r="L12" s="4">
        <v>124.16</v>
      </c>
    </row>
    <row r="13" spans="1:12" x14ac:dyDescent="0.25">
      <c r="A13" t="s">
        <v>45</v>
      </c>
      <c r="B13" s="4">
        <v>123.58</v>
      </c>
      <c r="C13" s="4">
        <v>91.72</v>
      </c>
      <c r="D13" s="4">
        <v>117.43</v>
      </c>
      <c r="E13" s="4">
        <v>107.36</v>
      </c>
      <c r="F13" s="4">
        <v>138.31</v>
      </c>
      <c r="G13" s="4">
        <v>124.49</v>
      </c>
      <c r="H13" s="4">
        <v>116.32</v>
      </c>
      <c r="I13" s="4">
        <v>125.63</v>
      </c>
      <c r="J13" s="4">
        <v>108.62</v>
      </c>
      <c r="K13" s="4">
        <v>113.93</v>
      </c>
      <c r="L13" s="4">
        <v>146.5</v>
      </c>
    </row>
    <row r="14" spans="1:12" x14ac:dyDescent="0.25">
      <c r="A14" t="s">
        <v>46</v>
      </c>
      <c r="B14" s="4">
        <v>121</v>
      </c>
      <c r="C14" s="4">
        <v>97.98</v>
      </c>
      <c r="D14" s="4">
        <v>112.98</v>
      </c>
      <c r="E14" s="4">
        <v>94.38</v>
      </c>
      <c r="F14" s="4">
        <v>142.62</v>
      </c>
      <c r="G14" s="4">
        <v>123.55</v>
      </c>
      <c r="H14" s="4">
        <v>101.63</v>
      </c>
      <c r="I14" s="4">
        <v>129.01</v>
      </c>
      <c r="J14" s="4">
        <v>113.06</v>
      </c>
      <c r="K14" s="4">
        <v>111.32</v>
      </c>
      <c r="L14" s="4">
        <v>130.52000000000001</v>
      </c>
    </row>
    <row r="15" spans="1:12" x14ac:dyDescent="0.25">
      <c r="A15" t="s">
        <v>47</v>
      </c>
      <c r="B15" s="4">
        <v>120.86</v>
      </c>
      <c r="C15" s="4">
        <v>99.22</v>
      </c>
      <c r="D15" s="4">
        <v>108.74</v>
      </c>
      <c r="E15" s="4">
        <v>92.66</v>
      </c>
      <c r="F15" s="4">
        <v>152.36000000000001</v>
      </c>
      <c r="G15" s="4">
        <v>117.33</v>
      </c>
      <c r="H15" s="4">
        <v>106.93</v>
      </c>
      <c r="I15" s="4">
        <v>122.79</v>
      </c>
      <c r="J15" s="4">
        <v>110.31</v>
      </c>
      <c r="K15" s="4">
        <v>120.63</v>
      </c>
      <c r="L15" s="4">
        <v>132.11000000000001</v>
      </c>
    </row>
    <row r="16" spans="1:12" x14ac:dyDescent="0.25">
      <c r="A16" t="s">
        <v>48</v>
      </c>
      <c r="B16" s="4">
        <v>124.1</v>
      </c>
      <c r="C16" s="4">
        <v>96.61</v>
      </c>
      <c r="D16" s="4">
        <v>109.01</v>
      </c>
      <c r="E16" s="4">
        <v>103</v>
      </c>
      <c r="F16" s="4">
        <v>149.51</v>
      </c>
      <c r="G16" s="4">
        <v>114.91</v>
      </c>
      <c r="H16" s="4">
        <v>114.67</v>
      </c>
      <c r="I16" s="4">
        <v>121.5</v>
      </c>
      <c r="J16" s="4">
        <v>124.9</v>
      </c>
      <c r="K16" s="4">
        <v>121.12</v>
      </c>
      <c r="L16" s="4">
        <v>142.59</v>
      </c>
    </row>
    <row r="17" spans="1:12" x14ac:dyDescent="0.25">
      <c r="A17" t="s">
        <v>49</v>
      </c>
      <c r="B17" s="4">
        <v>123.6</v>
      </c>
      <c r="C17" s="4">
        <v>111.51</v>
      </c>
      <c r="D17" s="4">
        <v>120.48</v>
      </c>
      <c r="E17" s="4">
        <v>102.39</v>
      </c>
      <c r="F17" s="4">
        <v>134.79</v>
      </c>
      <c r="G17" s="4">
        <v>112.33</v>
      </c>
      <c r="H17" s="4">
        <v>115.52</v>
      </c>
      <c r="I17" s="4">
        <v>127.7</v>
      </c>
      <c r="J17" s="4">
        <v>126</v>
      </c>
      <c r="K17" s="4">
        <v>121.66</v>
      </c>
      <c r="L17" s="4">
        <v>140.71</v>
      </c>
    </row>
    <row r="18" spans="1:12" x14ac:dyDescent="0.25">
      <c r="A18" t="s">
        <v>50</v>
      </c>
      <c r="B18" s="4">
        <v>130.78</v>
      </c>
      <c r="C18" s="4">
        <v>111.1</v>
      </c>
      <c r="D18" s="4">
        <v>119.39</v>
      </c>
      <c r="E18" s="4">
        <v>110.16</v>
      </c>
      <c r="F18" s="4">
        <v>146.63999999999999</v>
      </c>
      <c r="G18" s="4">
        <v>119.77</v>
      </c>
      <c r="H18" s="4">
        <v>126.23</v>
      </c>
      <c r="I18" s="4">
        <v>133.72999999999999</v>
      </c>
      <c r="J18" s="4">
        <v>127.22</v>
      </c>
      <c r="K18" s="4">
        <v>120.94</v>
      </c>
      <c r="L18" s="4">
        <v>155.9</v>
      </c>
    </row>
    <row r="19" spans="1:12" x14ac:dyDescent="0.25">
      <c r="A19" t="s">
        <v>51</v>
      </c>
      <c r="B19" s="4">
        <v>129.69</v>
      </c>
      <c r="C19" s="4">
        <v>112.17</v>
      </c>
      <c r="D19" s="4">
        <v>114.88</v>
      </c>
      <c r="E19" s="4">
        <v>109.98</v>
      </c>
      <c r="F19" s="4">
        <v>141.03</v>
      </c>
      <c r="G19" s="4">
        <v>123.27</v>
      </c>
      <c r="H19" s="4">
        <v>116.4</v>
      </c>
      <c r="I19" s="4">
        <v>135.36000000000001</v>
      </c>
      <c r="J19" s="4">
        <v>127.64</v>
      </c>
      <c r="K19" s="4">
        <v>121.2</v>
      </c>
      <c r="L19" s="4">
        <v>151.47999999999999</v>
      </c>
    </row>
    <row r="20" spans="1:12" x14ac:dyDescent="0.25">
      <c r="A20" t="s">
        <v>52</v>
      </c>
      <c r="B20" s="4">
        <v>132.97</v>
      </c>
      <c r="C20" s="4">
        <v>112.69</v>
      </c>
      <c r="D20" s="4">
        <v>121.71</v>
      </c>
      <c r="E20" s="4">
        <v>89.61</v>
      </c>
      <c r="F20" s="4">
        <v>148.85</v>
      </c>
      <c r="G20" s="4">
        <v>128.34</v>
      </c>
      <c r="H20" s="4">
        <v>118.18</v>
      </c>
      <c r="I20" s="4">
        <v>139.87</v>
      </c>
      <c r="J20" s="4">
        <v>138.69</v>
      </c>
      <c r="K20" s="4">
        <v>123.3</v>
      </c>
      <c r="L20" s="4">
        <v>143.85</v>
      </c>
    </row>
    <row r="21" spans="1:12" x14ac:dyDescent="0.25">
      <c r="A21" t="s">
        <v>53</v>
      </c>
      <c r="B21" s="4">
        <v>130.65</v>
      </c>
      <c r="C21" s="4">
        <v>121.56</v>
      </c>
      <c r="D21" s="4">
        <v>134.63999999999999</v>
      </c>
      <c r="E21" s="4">
        <v>120.71</v>
      </c>
      <c r="F21" s="4">
        <v>133.77000000000001</v>
      </c>
      <c r="G21" s="4">
        <v>124.17</v>
      </c>
      <c r="H21" s="4">
        <v>110.94</v>
      </c>
      <c r="I21" s="4">
        <v>140.38</v>
      </c>
      <c r="J21" s="4">
        <v>129.84</v>
      </c>
      <c r="K21" s="4">
        <v>108.76</v>
      </c>
      <c r="L21" s="4">
        <v>152.26</v>
      </c>
    </row>
    <row r="22" spans="1:12" x14ac:dyDescent="0.25">
      <c r="A22" t="s">
        <v>54</v>
      </c>
      <c r="B22" s="4">
        <v>132.06</v>
      </c>
      <c r="C22" s="4">
        <v>115.9</v>
      </c>
      <c r="D22" s="4">
        <v>128.72999999999999</v>
      </c>
      <c r="E22" s="4">
        <v>121.27</v>
      </c>
      <c r="F22" s="4">
        <v>156.53</v>
      </c>
      <c r="G22" s="4">
        <v>114.77</v>
      </c>
      <c r="H22" s="4">
        <v>105.05</v>
      </c>
      <c r="I22" s="4">
        <v>143.24</v>
      </c>
      <c r="J22" s="4">
        <v>134.93</v>
      </c>
      <c r="K22" s="4">
        <v>120.16</v>
      </c>
      <c r="L22" s="4">
        <v>155.52000000000001</v>
      </c>
    </row>
    <row r="23" spans="1:12" x14ac:dyDescent="0.25">
      <c r="A23" t="s">
        <v>55</v>
      </c>
      <c r="B23" s="4">
        <v>136.82</v>
      </c>
      <c r="C23" s="4">
        <v>123.88</v>
      </c>
      <c r="D23" s="4">
        <v>129.63</v>
      </c>
      <c r="E23" s="4">
        <v>121.82</v>
      </c>
      <c r="F23" s="4">
        <v>152.61000000000001</v>
      </c>
      <c r="G23" s="4">
        <v>126.32</v>
      </c>
      <c r="H23" s="4">
        <v>116.33</v>
      </c>
      <c r="I23" s="4">
        <v>141.12</v>
      </c>
      <c r="J23" s="4">
        <v>146.69</v>
      </c>
      <c r="K23" s="4">
        <v>124.52</v>
      </c>
      <c r="L23" s="4">
        <v>163.41999999999999</v>
      </c>
    </row>
    <row r="24" spans="1:12" x14ac:dyDescent="0.25">
      <c r="A24" t="s">
        <v>56</v>
      </c>
      <c r="B24" s="4">
        <v>149.04</v>
      </c>
      <c r="C24" s="4">
        <v>119.64</v>
      </c>
      <c r="D24" s="4">
        <v>148.81</v>
      </c>
      <c r="E24" s="4">
        <v>130.94</v>
      </c>
      <c r="F24" s="4">
        <v>161.44999999999999</v>
      </c>
      <c r="G24" s="4">
        <v>145.03</v>
      </c>
      <c r="H24" s="4">
        <v>124.15</v>
      </c>
      <c r="I24" s="4">
        <v>144.83000000000001</v>
      </c>
      <c r="J24" s="4">
        <v>156.69999999999999</v>
      </c>
      <c r="K24" s="4">
        <v>134.13999999999999</v>
      </c>
      <c r="L24" s="4">
        <v>180.34</v>
      </c>
    </row>
    <row r="25" spans="1:12" x14ac:dyDescent="0.25">
      <c r="A25" t="s">
        <v>57</v>
      </c>
      <c r="B25" s="4">
        <v>148.4</v>
      </c>
      <c r="C25" s="4">
        <v>156.91</v>
      </c>
      <c r="D25" s="4">
        <v>152.82</v>
      </c>
      <c r="E25" s="4">
        <v>132.56</v>
      </c>
      <c r="F25" s="4">
        <v>164.59</v>
      </c>
      <c r="G25" s="4">
        <v>136.91999999999999</v>
      </c>
      <c r="H25" s="4">
        <v>115.06</v>
      </c>
      <c r="I25" s="4">
        <v>148.63999999999999</v>
      </c>
      <c r="J25" s="4">
        <v>152.49</v>
      </c>
      <c r="K25" s="4">
        <v>125.74</v>
      </c>
      <c r="L25" s="4">
        <v>199.01</v>
      </c>
    </row>
    <row r="26" spans="1:12" x14ac:dyDescent="0.25">
      <c r="A26" t="s">
        <v>58</v>
      </c>
      <c r="B26" s="4">
        <v>153.69</v>
      </c>
      <c r="C26" s="4">
        <v>139.38999999999999</v>
      </c>
      <c r="D26" s="4">
        <v>156.03</v>
      </c>
      <c r="E26" s="4">
        <v>143.77000000000001</v>
      </c>
      <c r="F26" s="4">
        <v>164.88</v>
      </c>
      <c r="G26" s="4">
        <v>142.04</v>
      </c>
      <c r="H26" s="4">
        <v>127.82</v>
      </c>
      <c r="I26" s="4">
        <v>155.72999999999999</v>
      </c>
      <c r="J26" s="4">
        <v>161.47999999999999</v>
      </c>
      <c r="K26" s="4">
        <v>130.88999999999999</v>
      </c>
      <c r="L26" s="4">
        <v>171.3</v>
      </c>
    </row>
    <row r="27" spans="1:12" x14ac:dyDescent="0.25">
      <c r="A27" t="s">
        <v>59</v>
      </c>
      <c r="B27" s="4">
        <v>143.71</v>
      </c>
      <c r="C27" s="4">
        <v>141.65</v>
      </c>
      <c r="D27" s="4">
        <v>153.25</v>
      </c>
      <c r="E27" s="4">
        <v>108.39</v>
      </c>
      <c r="F27" s="4">
        <v>177.09</v>
      </c>
      <c r="G27" s="4">
        <v>116.04</v>
      </c>
      <c r="H27" s="4">
        <v>115.14</v>
      </c>
      <c r="I27" s="4">
        <v>150.96</v>
      </c>
      <c r="J27" s="4">
        <v>162.33000000000001</v>
      </c>
      <c r="K27" s="4">
        <v>146.49</v>
      </c>
      <c r="L27" s="4">
        <v>164.73</v>
      </c>
    </row>
    <row r="28" spans="1:12" x14ac:dyDescent="0.25">
      <c r="A28" t="s">
        <v>60</v>
      </c>
      <c r="B28" s="4">
        <v>156.18</v>
      </c>
      <c r="C28" s="4">
        <v>155.03</v>
      </c>
      <c r="D28" s="4">
        <v>156.28</v>
      </c>
      <c r="E28" s="4">
        <v>153.26</v>
      </c>
      <c r="F28" s="4">
        <v>175.94</v>
      </c>
      <c r="G28" s="4">
        <v>133.1</v>
      </c>
      <c r="H28" s="4">
        <v>121.73</v>
      </c>
      <c r="I28" s="4">
        <v>169.45</v>
      </c>
      <c r="J28" s="4">
        <v>172.11</v>
      </c>
      <c r="K28" s="4">
        <v>149.53</v>
      </c>
      <c r="L28" s="4">
        <v>179.43</v>
      </c>
    </row>
    <row r="29" spans="1:12" x14ac:dyDescent="0.25">
      <c r="A29" t="s">
        <v>61</v>
      </c>
      <c r="B29" s="4">
        <v>157.87</v>
      </c>
      <c r="C29" s="4">
        <v>148.06</v>
      </c>
      <c r="D29" s="4">
        <v>174.98</v>
      </c>
      <c r="E29" s="4">
        <v>143.84</v>
      </c>
      <c r="F29" s="4">
        <v>167.82</v>
      </c>
      <c r="G29" s="4">
        <v>137.68</v>
      </c>
      <c r="H29" s="4">
        <v>129.01</v>
      </c>
      <c r="I29" s="4">
        <v>169.76</v>
      </c>
      <c r="J29" s="4">
        <v>168.24</v>
      </c>
      <c r="K29" s="4">
        <v>155.12</v>
      </c>
      <c r="L29" s="4">
        <v>161.94999999999999</v>
      </c>
    </row>
    <row r="30" spans="1:12" x14ac:dyDescent="0.25">
      <c r="A30" t="s">
        <v>62</v>
      </c>
      <c r="B30" s="4">
        <v>160.43</v>
      </c>
      <c r="C30" s="4">
        <v>149.08000000000001</v>
      </c>
      <c r="D30" s="4">
        <v>175.28</v>
      </c>
      <c r="E30" s="4">
        <v>152.37</v>
      </c>
      <c r="F30" s="4">
        <v>183.45</v>
      </c>
      <c r="G30" s="4">
        <v>136.03</v>
      </c>
      <c r="H30" s="4">
        <v>125.41</v>
      </c>
      <c r="I30" s="4">
        <v>177.76</v>
      </c>
      <c r="J30" s="4">
        <v>156.01</v>
      </c>
      <c r="K30" s="4">
        <v>173.86</v>
      </c>
      <c r="L30" s="4">
        <v>170.13</v>
      </c>
    </row>
    <row r="31" spans="1:12" x14ac:dyDescent="0.25">
      <c r="A31" t="s">
        <v>63</v>
      </c>
      <c r="B31" s="4">
        <v>162.41999999999999</v>
      </c>
      <c r="C31" s="4">
        <v>142.27000000000001</v>
      </c>
      <c r="D31" s="4">
        <v>171.19</v>
      </c>
      <c r="E31" s="4">
        <v>111.76</v>
      </c>
      <c r="F31" s="4">
        <v>177.21</v>
      </c>
      <c r="G31" s="4">
        <v>131.1</v>
      </c>
      <c r="H31" s="4">
        <v>133.61000000000001</v>
      </c>
      <c r="I31" s="4">
        <v>182.29</v>
      </c>
      <c r="J31" s="4">
        <v>169.87</v>
      </c>
      <c r="K31" s="4">
        <v>174.35</v>
      </c>
      <c r="L31" s="4">
        <v>182.2</v>
      </c>
    </row>
    <row r="32" spans="1:12" x14ac:dyDescent="0.25">
      <c r="A32" t="s">
        <v>64</v>
      </c>
      <c r="B32" s="4">
        <v>156.88</v>
      </c>
      <c r="C32" s="4">
        <v>156.68</v>
      </c>
      <c r="D32" s="4">
        <v>166.52</v>
      </c>
      <c r="E32" s="4">
        <v>119.06</v>
      </c>
      <c r="F32" s="4">
        <v>174.73</v>
      </c>
      <c r="G32" s="4">
        <v>117.3</v>
      </c>
      <c r="H32" s="4">
        <v>133.21</v>
      </c>
      <c r="I32" s="4">
        <v>182.93</v>
      </c>
      <c r="J32" s="4">
        <v>154</v>
      </c>
      <c r="K32" s="4">
        <v>175.38</v>
      </c>
      <c r="L32" s="4">
        <v>181.22</v>
      </c>
    </row>
    <row r="33" spans="1:12" x14ac:dyDescent="0.25">
      <c r="A33" t="s">
        <v>65</v>
      </c>
      <c r="B33" s="4">
        <v>159.57</v>
      </c>
      <c r="C33" s="4">
        <v>160.77000000000001</v>
      </c>
      <c r="D33" s="4">
        <v>157.78</v>
      </c>
      <c r="E33" s="4">
        <v>129.96</v>
      </c>
      <c r="F33" s="4">
        <v>184.22</v>
      </c>
      <c r="G33" s="4">
        <v>123.22</v>
      </c>
      <c r="H33" s="4">
        <v>127.87</v>
      </c>
      <c r="I33" s="4">
        <v>179.91</v>
      </c>
      <c r="J33" s="4">
        <v>158.18</v>
      </c>
      <c r="K33" s="4">
        <v>169.26</v>
      </c>
      <c r="L33" s="4">
        <v>189.62</v>
      </c>
    </row>
    <row r="34" spans="1:12" x14ac:dyDescent="0.25">
      <c r="A34" t="s">
        <v>66</v>
      </c>
      <c r="B34" s="4">
        <v>164.77</v>
      </c>
      <c r="C34" s="4">
        <v>149.80000000000001</v>
      </c>
      <c r="D34" s="4">
        <v>170.71</v>
      </c>
      <c r="E34" s="4">
        <v>130.87</v>
      </c>
      <c r="F34" s="4">
        <v>183.52</v>
      </c>
      <c r="G34" s="4">
        <v>136.32</v>
      </c>
      <c r="H34" s="4">
        <v>138.91</v>
      </c>
      <c r="I34" s="4">
        <v>175.08</v>
      </c>
      <c r="J34" s="4">
        <v>166.67</v>
      </c>
      <c r="K34" s="4">
        <v>167.16</v>
      </c>
      <c r="L34" s="4">
        <v>168.48</v>
      </c>
    </row>
    <row r="35" spans="1:12" x14ac:dyDescent="0.25">
      <c r="A35" t="s">
        <v>67</v>
      </c>
      <c r="B35" s="4">
        <v>164.79</v>
      </c>
      <c r="C35" s="4">
        <v>138.66</v>
      </c>
      <c r="D35" s="4">
        <v>166.01</v>
      </c>
      <c r="E35" s="4">
        <v>134.1</v>
      </c>
      <c r="F35" s="4">
        <v>180.04</v>
      </c>
      <c r="G35" s="4">
        <v>135.54</v>
      </c>
      <c r="H35" s="4">
        <v>137.54</v>
      </c>
      <c r="I35" s="4">
        <v>161.88999999999999</v>
      </c>
      <c r="J35" s="4">
        <v>163.22999999999999</v>
      </c>
      <c r="K35" s="4">
        <v>166.17</v>
      </c>
      <c r="L35" s="4">
        <v>206.17</v>
      </c>
    </row>
    <row r="36" spans="1:12" x14ac:dyDescent="0.25">
      <c r="A36" t="s">
        <v>68</v>
      </c>
      <c r="B36" s="4">
        <v>164.2</v>
      </c>
      <c r="C36" s="4">
        <v>137.44</v>
      </c>
      <c r="D36" s="4">
        <v>177.15</v>
      </c>
      <c r="E36" s="4">
        <v>132.1</v>
      </c>
      <c r="F36" s="4">
        <v>172.69</v>
      </c>
      <c r="G36" s="4">
        <v>139.68</v>
      </c>
      <c r="H36" s="4">
        <v>139.77000000000001</v>
      </c>
      <c r="I36" s="4">
        <v>157.25</v>
      </c>
      <c r="J36" s="4">
        <v>167.22</v>
      </c>
      <c r="K36" s="4">
        <v>143.99</v>
      </c>
      <c r="L36" s="4">
        <v>197.34</v>
      </c>
    </row>
    <row r="37" spans="1:12" x14ac:dyDescent="0.25">
      <c r="A37" t="s">
        <v>69</v>
      </c>
      <c r="B37" s="4">
        <v>152.31</v>
      </c>
      <c r="C37" s="4">
        <v>134.27000000000001</v>
      </c>
      <c r="D37" s="4">
        <v>160.27000000000001</v>
      </c>
      <c r="E37" s="4">
        <v>144.33000000000001</v>
      </c>
      <c r="F37" s="4">
        <v>160.84</v>
      </c>
      <c r="G37" s="4">
        <v>140.93</v>
      </c>
      <c r="H37" s="4">
        <v>127.05</v>
      </c>
      <c r="I37" s="4">
        <v>129.05000000000001</v>
      </c>
      <c r="J37" s="4">
        <v>159.38</v>
      </c>
      <c r="K37" s="4">
        <v>145.11000000000001</v>
      </c>
      <c r="L37" s="4">
        <v>172.53</v>
      </c>
    </row>
    <row r="38" spans="1:12" x14ac:dyDescent="0.25">
      <c r="A38" t="s">
        <v>70</v>
      </c>
      <c r="B38" s="4">
        <v>154.9</v>
      </c>
      <c r="C38" s="4">
        <v>141.99</v>
      </c>
      <c r="D38" s="4">
        <v>157.15</v>
      </c>
      <c r="E38" s="4">
        <v>133.66</v>
      </c>
      <c r="F38" s="4">
        <v>161.72999999999999</v>
      </c>
      <c r="G38" s="4">
        <v>127.71</v>
      </c>
      <c r="H38" s="4">
        <v>130.06</v>
      </c>
      <c r="I38" s="4">
        <v>160.56</v>
      </c>
      <c r="J38" s="4">
        <v>161.97999999999999</v>
      </c>
      <c r="K38" s="4">
        <v>151.03</v>
      </c>
      <c r="L38" s="4">
        <v>172.27</v>
      </c>
    </row>
    <row r="39" spans="1:12" x14ac:dyDescent="0.25">
      <c r="A39" t="s">
        <v>71</v>
      </c>
      <c r="B39" s="4">
        <v>151.08000000000001</v>
      </c>
      <c r="C39" s="4">
        <v>149.06</v>
      </c>
      <c r="D39" s="4">
        <v>168.96</v>
      </c>
      <c r="E39" s="4">
        <v>145.53</v>
      </c>
      <c r="F39" s="4">
        <v>156.54</v>
      </c>
      <c r="G39" s="4">
        <v>124.28</v>
      </c>
      <c r="H39" s="4">
        <v>124.65</v>
      </c>
      <c r="I39" s="4">
        <v>143.86000000000001</v>
      </c>
      <c r="J39" s="4">
        <v>156.54</v>
      </c>
      <c r="K39" s="4">
        <v>147.75</v>
      </c>
      <c r="L39" s="4">
        <v>175.63</v>
      </c>
    </row>
    <row r="40" spans="1:12" x14ac:dyDescent="0.25">
      <c r="A40" t="s">
        <v>72</v>
      </c>
      <c r="B40" s="4">
        <v>148.09</v>
      </c>
      <c r="C40" s="4">
        <v>152.29</v>
      </c>
      <c r="D40" s="4">
        <v>159.5</v>
      </c>
      <c r="E40" s="4">
        <v>125.74</v>
      </c>
      <c r="F40" s="4">
        <v>156.96</v>
      </c>
      <c r="G40" s="4">
        <v>120.53</v>
      </c>
      <c r="H40" s="4">
        <v>114.01</v>
      </c>
      <c r="I40" s="4">
        <v>162.72</v>
      </c>
      <c r="J40" s="4">
        <v>159.38</v>
      </c>
      <c r="K40" s="4">
        <v>153.88</v>
      </c>
      <c r="L40" s="4">
        <v>169.15</v>
      </c>
    </row>
    <row r="41" spans="1:12" x14ac:dyDescent="0.25">
      <c r="A41" t="s">
        <v>73</v>
      </c>
      <c r="B41" s="4">
        <v>154.02000000000001</v>
      </c>
      <c r="C41" s="4">
        <v>155.16999999999999</v>
      </c>
      <c r="D41" s="4">
        <v>168.03</v>
      </c>
      <c r="E41" s="4">
        <v>130</v>
      </c>
      <c r="F41" s="4">
        <v>172.15</v>
      </c>
      <c r="G41" s="4">
        <v>118.33</v>
      </c>
      <c r="H41" s="4">
        <v>119.93</v>
      </c>
      <c r="I41" s="4">
        <v>167.08</v>
      </c>
      <c r="J41" s="4">
        <v>162.30000000000001</v>
      </c>
      <c r="K41" s="4">
        <v>156.16</v>
      </c>
      <c r="L41" s="4">
        <v>183.05</v>
      </c>
    </row>
    <row r="42" spans="1:12" x14ac:dyDescent="0.25">
      <c r="A42" t="s">
        <v>74</v>
      </c>
      <c r="B42" s="4">
        <v>156.79</v>
      </c>
      <c r="C42" s="4">
        <v>146.66999999999999</v>
      </c>
      <c r="D42" s="4">
        <v>161.44999999999999</v>
      </c>
      <c r="E42" s="4">
        <v>120.77</v>
      </c>
      <c r="F42" s="4">
        <v>167.18</v>
      </c>
      <c r="G42" s="4">
        <v>128.96</v>
      </c>
      <c r="H42" s="4">
        <v>128.18</v>
      </c>
      <c r="I42" s="4">
        <v>155.91999999999999</v>
      </c>
      <c r="J42" s="4">
        <v>170.44</v>
      </c>
      <c r="K42" s="4">
        <v>151.02000000000001</v>
      </c>
      <c r="L42" s="4">
        <v>185.02</v>
      </c>
    </row>
    <row r="43" spans="1:12" x14ac:dyDescent="0.25">
      <c r="A43" t="s">
        <v>75</v>
      </c>
      <c r="B43" s="4">
        <v>159.41</v>
      </c>
      <c r="C43" s="4">
        <v>163.88</v>
      </c>
      <c r="D43" s="4">
        <v>170.35</v>
      </c>
      <c r="E43" s="4">
        <v>117.31</v>
      </c>
      <c r="F43" s="4">
        <v>176.17</v>
      </c>
      <c r="G43" s="4">
        <v>118.5</v>
      </c>
      <c r="H43" s="4">
        <v>128.13999999999999</v>
      </c>
      <c r="I43" s="4">
        <v>163.9</v>
      </c>
      <c r="J43" s="4">
        <v>175.65</v>
      </c>
      <c r="K43" s="4">
        <v>167.81</v>
      </c>
      <c r="L43" s="4">
        <v>188.56</v>
      </c>
    </row>
    <row r="44" spans="1:12" x14ac:dyDescent="0.25">
      <c r="A44" t="s">
        <v>76</v>
      </c>
      <c r="B44" s="4">
        <v>143.25</v>
      </c>
      <c r="C44" s="4">
        <v>131.13</v>
      </c>
      <c r="D44" s="4">
        <v>140.97999999999999</v>
      </c>
      <c r="E44" s="4">
        <v>103.72</v>
      </c>
      <c r="F44" s="4">
        <v>154.11000000000001</v>
      </c>
      <c r="G44" s="4">
        <v>107.85</v>
      </c>
      <c r="H44" s="4">
        <v>121.57</v>
      </c>
      <c r="I44" s="4">
        <v>138.83000000000001</v>
      </c>
      <c r="J44" s="4">
        <v>153.78</v>
      </c>
      <c r="K44" s="4">
        <v>151.88999999999999</v>
      </c>
      <c r="L44" s="4">
        <v>177.79</v>
      </c>
    </row>
    <row r="45" spans="1:12" x14ac:dyDescent="0.25">
      <c r="A45" t="s">
        <v>77</v>
      </c>
      <c r="B45" s="4">
        <v>157.01</v>
      </c>
      <c r="C45" s="4">
        <v>146.33000000000001</v>
      </c>
      <c r="D45" s="4">
        <v>160.05000000000001</v>
      </c>
      <c r="E45" s="4">
        <v>131.76</v>
      </c>
      <c r="F45" s="4">
        <v>177.88</v>
      </c>
      <c r="G45" s="4">
        <v>121.85</v>
      </c>
      <c r="H45" s="4">
        <v>128.77000000000001</v>
      </c>
      <c r="I45" s="4">
        <v>148.19999999999999</v>
      </c>
      <c r="J45" s="4">
        <v>158.21</v>
      </c>
      <c r="K45" s="4">
        <v>150.66999999999999</v>
      </c>
      <c r="L45" s="4">
        <v>175.48</v>
      </c>
    </row>
    <row r="46" spans="1:12" x14ac:dyDescent="0.25">
      <c r="A46" t="s">
        <v>78</v>
      </c>
      <c r="B46" s="4">
        <v>160.43</v>
      </c>
      <c r="C46" s="4">
        <v>134.44999999999999</v>
      </c>
      <c r="D46" s="4">
        <v>165.62</v>
      </c>
      <c r="E46" s="4">
        <v>142.5</v>
      </c>
      <c r="F46" s="4">
        <v>179.86</v>
      </c>
      <c r="G46" s="4">
        <v>129.63999999999999</v>
      </c>
      <c r="H46" s="4">
        <v>129.44</v>
      </c>
      <c r="I46" s="4">
        <v>160.78</v>
      </c>
      <c r="J46" s="4">
        <v>162.11000000000001</v>
      </c>
      <c r="K46" s="4">
        <v>151.18</v>
      </c>
      <c r="L46" s="4">
        <v>174.37</v>
      </c>
    </row>
    <row r="47" spans="1:12" x14ac:dyDescent="0.25">
      <c r="A47" t="s">
        <v>79</v>
      </c>
      <c r="B47" s="4">
        <v>141.77000000000001</v>
      </c>
      <c r="C47" s="4">
        <v>119.69</v>
      </c>
      <c r="D47" s="4">
        <v>137.35</v>
      </c>
      <c r="E47" s="4">
        <v>109.56</v>
      </c>
      <c r="F47" s="4">
        <v>163.44999999999999</v>
      </c>
      <c r="G47" s="4">
        <v>113.81</v>
      </c>
      <c r="H47" s="4">
        <v>110.18</v>
      </c>
      <c r="I47" s="4">
        <v>136.63</v>
      </c>
      <c r="J47" s="4">
        <v>147.16</v>
      </c>
      <c r="K47" s="4">
        <v>152</v>
      </c>
      <c r="L47" s="4">
        <v>157.93</v>
      </c>
    </row>
    <row r="48" spans="1:12" x14ac:dyDescent="0.25">
      <c r="A48" t="s">
        <v>80</v>
      </c>
      <c r="B48" s="4">
        <v>146.05000000000001</v>
      </c>
      <c r="C48" s="4">
        <v>136.12</v>
      </c>
      <c r="D48" s="4">
        <v>143.28</v>
      </c>
      <c r="E48" s="4">
        <v>114.34</v>
      </c>
      <c r="F48" s="4">
        <v>158.74</v>
      </c>
      <c r="G48" s="4">
        <v>116.57</v>
      </c>
      <c r="H48" s="4">
        <v>115.14</v>
      </c>
      <c r="I48" s="4">
        <v>144.72</v>
      </c>
      <c r="J48" s="4">
        <v>154.97</v>
      </c>
      <c r="K48" s="4">
        <v>144.01</v>
      </c>
      <c r="L48" s="4">
        <v>175.92</v>
      </c>
    </row>
    <row r="49" spans="1:12" x14ac:dyDescent="0.25">
      <c r="A49" t="s">
        <v>81</v>
      </c>
      <c r="B49" s="4">
        <v>151.69999999999999</v>
      </c>
      <c r="C49" s="4">
        <v>149</v>
      </c>
      <c r="D49" s="4">
        <v>152.88999999999999</v>
      </c>
      <c r="E49" s="4">
        <v>123.72</v>
      </c>
      <c r="F49" s="4">
        <v>158.47999999999999</v>
      </c>
      <c r="G49" s="4">
        <v>124.77</v>
      </c>
      <c r="H49" s="4">
        <v>121.44</v>
      </c>
      <c r="I49" s="4">
        <v>154.46</v>
      </c>
      <c r="J49" s="4">
        <v>151.77000000000001</v>
      </c>
      <c r="K49" s="4">
        <v>148.56</v>
      </c>
      <c r="L49" s="4">
        <v>178.15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9"/>
  <sheetViews>
    <sheetView workbookViewId="0">
      <pane xSplit="1" ySplit="2" topLeftCell="B27" activePane="bottomRight" state="frozen"/>
      <selection pane="topRight"/>
      <selection pane="bottomLeft"/>
      <selection pane="bottomRight" activeCell="I13" sqref="I13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226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45</v>
      </c>
      <c r="B3" s="4">
        <v>103</v>
      </c>
      <c r="C3" s="4">
        <v>95</v>
      </c>
      <c r="D3" s="4">
        <v>106</v>
      </c>
      <c r="E3" s="4">
        <v>102</v>
      </c>
      <c r="F3" s="4">
        <v>128</v>
      </c>
      <c r="G3" s="4">
        <v>104</v>
      </c>
      <c r="H3" s="4">
        <v>103</v>
      </c>
      <c r="I3" s="4">
        <v>140</v>
      </c>
    </row>
    <row r="4" spans="1:9" x14ac:dyDescent="0.25">
      <c r="A4" t="s">
        <v>46</v>
      </c>
      <c r="B4" s="4">
        <v>109</v>
      </c>
      <c r="C4" s="4">
        <v>103</v>
      </c>
      <c r="D4" s="4">
        <v>111</v>
      </c>
      <c r="E4" s="4">
        <v>99</v>
      </c>
      <c r="F4" s="4">
        <v>137</v>
      </c>
      <c r="G4" s="4">
        <v>109</v>
      </c>
      <c r="H4" s="4">
        <v>112</v>
      </c>
      <c r="I4" s="4">
        <v>137</v>
      </c>
    </row>
    <row r="5" spans="1:9" x14ac:dyDescent="0.25">
      <c r="A5" t="s">
        <v>47</v>
      </c>
      <c r="B5" s="4">
        <v>114</v>
      </c>
      <c r="C5" s="4">
        <v>110</v>
      </c>
      <c r="D5" s="4">
        <v>115</v>
      </c>
      <c r="E5" s="4">
        <v>108</v>
      </c>
      <c r="F5" s="4">
        <v>136</v>
      </c>
      <c r="G5" s="4">
        <v>111</v>
      </c>
      <c r="H5" s="4">
        <v>114</v>
      </c>
      <c r="I5" s="4">
        <v>127</v>
      </c>
    </row>
    <row r="6" spans="1:9" x14ac:dyDescent="0.25">
      <c r="A6" t="s">
        <v>48</v>
      </c>
      <c r="B6" s="4">
        <v>117</v>
      </c>
      <c r="C6" s="4">
        <v>116</v>
      </c>
      <c r="D6" s="4">
        <v>122</v>
      </c>
      <c r="E6" s="4">
        <v>115</v>
      </c>
      <c r="F6" s="4">
        <v>135</v>
      </c>
      <c r="G6" s="4">
        <v>109</v>
      </c>
      <c r="H6" s="4">
        <v>105</v>
      </c>
      <c r="I6" s="4">
        <v>142</v>
      </c>
    </row>
    <row r="7" spans="1:9" x14ac:dyDescent="0.25">
      <c r="A7" t="s">
        <v>49</v>
      </c>
      <c r="B7" s="4">
        <v>118</v>
      </c>
      <c r="C7" s="4">
        <v>112</v>
      </c>
      <c r="D7" s="4">
        <v>114</v>
      </c>
      <c r="E7" s="4">
        <v>117</v>
      </c>
      <c r="F7" s="4">
        <v>127</v>
      </c>
      <c r="G7" s="4">
        <v>115</v>
      </c>
      <c r="H7" s="4">
        <v>118</v>
      </c>
      <c r="I7" s="4">
        <v>143</v>
      </c>
    </row>
    <row r="8" spans="1:9" x14ac:dyDescent="0.25">
      <c r="A8" t="s">
        <v>50</v>
      </c>
      <c r="B8" s="4">
        <v>118</v>
      </c>
      <c r="C8" s="4">
        <v>110</v>
      </c>
      <c r="D8" s="4">
        <v>115</v>
      </c>
      <c r="E8" s="4">
        <v>120</v>
      </c>
      <c r="F8" s="4">
        <v>136</v>
      </c>
      <c r="G8" s="4">
        <v>118</v>
      </c>
      <c r="H8" s="4">
        <v>110</v>
      </c>
      <c r="I8" s="4">
        <v>139</v>
      </c>
    </row>
    <row r="9" spans="1:9" x14ac:dyDescent="0.25">
      <c r="A9" t="s">
        <v>51</v>
      </c>
      <c r="B9" s="4">
        <v>122</v>
      </c>
      <c r="C9" s="4">
        <v>130</v>
      </c>
      <c r="D9" s="4">
        <v>115</v>
      </c>
      <c r="E9" s="4">
        <v>114</v>
      </c>
      <c r="F9" s="4">
        <v>133</v>
      </c>
      <c r="G9" s="4">
        <v>116</v>
      </c>
      <c r="H9" s="4">
        <v>108</v>
      </c>
      <c r="I9" s="4">
        <v>140</v>
      </c>
    </row>
    <row r="10" spans="1:9" x14ac:dyDescent="0.25">
      <c r="A10" t="s">
        <v>52</v>
      </c>
      <c r="B10" s="4">
        <v>118</v>
      </c>
      <c r="C10" s="4">
        <v>105</v>
      </c>
      <c r="D10" s="4">
        <v>118</v>
      </c>
      <c r="E10" s="4">
        <v>117</v>
      </c>
      <c r="F10" s="4">
        <v>132</v>
      </c>
      <c r="G10" s="4">
        <v>120</v>
      </c>
      <c r="H10" s="4">
        <v>103</v>
      </c>
      <c r="I10" s="4">
        <v>141</v>
      </c>
    </row>
    <row r="11" spans="1:9" x14ac:dyDescent="0.25">
      <c r="A11" t="s">
        <v>53</v>
      </c>
      <c r="B11" s="4">
        <v>118</v>
      </c>
      <c r="C11" s="4">
        <v>108</v>
      </c>
      <c r="D11" s="4">
        <v>124</v>
      </c>
      <c r="E11" s="4">
        <v>114</v>
      </c>
      <c r="F11" s="4">
        <v>134</v>
      </c>
      <c r="G11" s="4">
        <v>116</v>
      </c>
      <c r="H11" s="4">
        <v>110</v>
      </c>
      <c r="I11" s="4">
        <v>150</v>
      </c>
    </row>
    <row r="12" spans="1:9" x14ac:dyDescent="0.25">
      <c r="A12" t="s">
        <v>54</v>
      </c>
      <c r="B12" s="4">
        <v>118</v>
      </c>
      <c r="C12" s="4">
        <v>109</v>
      </c>
      <c r="D12" s="4">
        <v>118</v>
      </c>
      <c r="E12" s="4">
        <v>111</v>
      </c>
      <c r="F12" s="4">
        <v>135</v>
      </c>
      <c r="G12" s="4">
        <v>119</v>
      </c>
      <c r="H12" s="4">
        <v>100</v>
      </c>
      <c r="I12" s="4">
        <v>151</v>
      </c>
    </row>
    <row r="13" spans="1:9" x14ac:dyDescent="0.25">
      <c r="A13" t="s">
        <v>55</v>
      </c>
      <c r="B13" s="4">
        <v>118</v>
      </c>
      <c r="C13" s="4">
        <v>106</v>
      </c>
      <c r="D13" s="4">
        <v>123</v>
      </c>
      <c r="E13" s="4">
        <v>115</v>
      </c>
      <c r="F13" s="4">
        <v>133</v>
      </c>
      <c r="G13" s="4">
        <v>118</v>
      </c>
      <c r="H13" s="4">
        <v>104</v>
      </c>
      <c r="I13" s="4">
        <v>140</v>
      </c>
    </row>
    <row r="14" spans="1:9" x14ac:dyDescent="0.25">
      <c r="A14" t="s">
        <v>56</v>
      </c>
      <c r="B14" s="4">
        <v>124</v>
      </c>
      <c r="C14" s="4">
        <v>110</v>
      </c>
      <c r="D14" s="4">
        <v>120</v>
      </c>
      <c r="E14" s="4">
        <v>126</v>
      </c>
      <c r="F14" s="4">
        <v>129</v>
      </c>
      <c r="G14" s="4">
        <v>122</v>
      </c>
      <c r="H14" s="4">
        <v>110</v>
      </c>
      <c r="I14" s="4">
        <v>147</v>
      </c>
    </row>
    <row r="15" spans="1:9" x14ac:dyDescent="0.25">
      <c r="A15" t="s">
        <v>57</v>
      </c>
      <c r="B15" s="4">
        <v>116</v>
      </c>
      <c r="C15" s="4">
        <v>104</v>
      </c>
      <c r="D15" s="4">
        <v>121</v>
      </c>
      <c r="E15" s="4">
        <v>125</v>
      </c>
      <c r="F15" s="4">
        <v>140</v>
      </c>
      <c r="G15" s="4">
        <v>103</v>
      </c>
      <c r="H15" s="4">
        <v>104</v>
      </c>
      <c r="I15" s="4">
        <v>145</v>
      </c>
    </row>
    <row r="16" spans="1:9" x14ac:dyDescent="0.25">
      <c r="A16" t="s">
        <v>58</v>
      </c>
      <c r="B16" s="4">
        <v>118</v>
      </c>
      <c r="C16" s="4">
        <v>107</v>
      </c>
      <c r="D16" s="4">
        <v>120</v>
      </c>
      <c r="E16" s="4">
        <v>113</v>
      </c>
      <c r="F16" s="4">
        <v>136</v>
      </c>
      <c r="G16" s="4">
        <v>117</v>
      </c>
      <c r="H16" s="4">
        <v>96</v>
      </c>
      <c r="I16" s="4">
        <v>149</v>
      </c>
    </row>
    <row r="17" spans="1:9" x14ac:dyDescent="0.25">
      <c r="A17" t="s">
        <v>59</v>
      </c>
      <c r="B17" s="4">
        <v>113</v>
      </c>
      <c r="C17" s="4">
        <v>101</v>
      </c>
      <c r="D17" s="4">
        <v>113</v>
      </c>
      <c r="E17" s="4">
        <v>109</v>
      </c>
      <c r="F17" s="4">
        <v>131</v>
      </c>
      <c r="G17" s="4">
        <v>112</v>
      </c>
      <c r="H17" s="4">
        <v>97</v>
      </c>
      <c r="I17" s="4">
        <v>167</v>
      </c>
    </row>
    <row r="18" spans="1:9" x14ac:dyDescent="0.25">
      <c r="A18" t="s">
        <v>60</v>
      </c>
      <c r="B18" s="4">
        <v>115</v>
      </c>
      <c r="C18" s="4">
        <v>102</v>
      </c>
      <c r="D18" s="4">
        <v>122</v>
      </c>
      <c r="E18" s="4">
        <v>110</v>
      </c>
      <c r="F18" s="4">
        <v>136</v>
      </c>
      <c r="G18" s="4">
        <v>113</v>
      </c>
      <c r="H18" s="4">
        <v>102</v>
      </c>
      <c r="I18" s="4">
        <v>161</v>
      </c>
    </row>
    <row r="19" spans="1:9" x14ac:dyDescent="0.25">
      <c r="A19" t="s">
        <v>61</v>
      </c>
      <c r="B19" s="4">
        <v>117</v>
      </c>
      <c r="C19" s="4">
        <v>104</v>
      </c>
      <c r="D19" s="4">
        <v>131</v>
      </c>
      <c r="E19" s="4">
        <v>111</v>
      </c>
      <c r="F19" s="4">
        <v>141</v>
      </c>
      <c r="G19" s="4">
        <v>113</v>
      </c>
      <c r="H19" s="4">
        <v>107</v>
      </c>
      <c r="I19" s="4">
        <v>155</v>
      </c>
    </row>
    <row r="20" spans="1:9" x14ac:dyDescent="0.25">
      <c r="A20" t="s">
        <v>62</v>
      </c>
      <c r="B20" s="4">
        <v>124</v>
      </c>
      <c r="C20" s="4">
        <v>105</v>
      </c>
      <c r="D20" s="4">
        <v>133</v>
      </c>
      <c r="E20" s="4">
        <v>101</v>
      </c>
      <c r="F20" s="4">
        <v>138</v>
      </c>
      <c r="G20" s="4">
        <v>151</v>
      </c>
      <c r="H20" s="4">
        <v>110</v>
      </c>
      <c r="I20" s="4">
        <v>159</v>
      </c>
    </row>
    <row r="21" spans="1:9" x14ac:dyDescent="0.25">
      <c r="A21" t="s">
        <v>63</v>
      </c>
      <c r="B21" s="4">
        <v>129</v>
      </c>
      <c r="C21" s="4">
        <v>119</v>
      </c>
      <c r="D21" s="4">
        <v>131</v>
      </c>
      <c r="E21" s="4">
        <v>113</v>
      </c>
      <c r="F21" s="4">
        <v>131</v>
      </c>
      <c r="G21" s="4">
        <v>136</v>
      </c>
      <c r="H21" s="4">
        <v>113</v>
      </c>
      <c r="I21" s="4">
        <v>149</v>
      </c>
    </row>
    <row r="22" spans="1:9" x14ac:dyDescent="0.25">
      <c r="A22" t="s">
        <v>64</v>
      </c>
      <c r="B22" s="4">
        <v>126</v>
      </c>
      <c r="C22" s="4">
        <v>107</v>
      </c>
      <c r="D22" s="4">
        <v>128</v>
      </c>
      <c r="E22" s="4">
        <v>113</v>
      </c>
      <c r="F22" s="4">
        <v>156</v>
      </c>
      <c r="G22" s="4">
        <v>143</v>
      </c>
      <c r="H22" s="4">
        <v>106</v>
      </c>
      <c r="I22" s="4">
        <v>161</v>
      </c>
    </row>
    <row r="23" spans="1:9" x14ac:dyDescent="0.25">
      <c r="A23" t="s">
        <v>65</v>
      </c>
      <c r="B23" s="4">
        <v>129</v>
      </c>
      <c r="C23" s="4">
        <v>112</v>
      </c>
      <c r="D23" s="4">
        <v>127</v>
      </c>
      <c r="E23" s="4">
        <v>116</v>
      </c>
      <c r="F23" s="4">
        <v>140</v>
      </c>
      <c r="G23" s="4">
        <v>152</v>
      </c>
      <c r="H23" s="4">
        <v>114</v>
      </c>
      <c r="I23" s="4">
        <v>155</v>
      </c>
    </row>
    <row r="24" spans="1:9" x14ac:dyDescent="0.25">
      <c r="A24" t="s">
        <v>66</v>
      </c>
      <c r="B24" s="4">
        <v>129</v>
      </c>
      <c r="C24" s="4">
        <v>112</v>
      </c>
      <c r="D24" s="4">
        <v>127</v>
      </c>
      <c r="E24" s="4">
        <v>111</v>
      </c>
      <c r="F24" s="4">
        <v>152</v>
      </c>
      <c r="G24" s="4">
        <v>151</v>
      </c>
      <c r="H24" s="4">
        <v>112</v>
      </c>
      <c r="I24" s="4">
        <v>159</v>
      </c>
    </row>
    <row r="25" spans="1:9" x14ac:dyDescent="0.25">
      <c r="A25" t="s">
        <v>67</v>
      </c>
      <c r="B25" s="4">
        <v>131</v>
      </c>
      <c r="C25" s="4">
        <v>112</v>
      </c>
      <c r="D25" s="4">
        <v>132</v>
      </c>
      <c r="E25" s="4">
        <v>117</v>
      </c>
      <c r="F25" s="4">
        <v>145</v>
      </c>
      <c r="G25" s="4">
        <v>162</v>
      </c>
      <c r="H25" s="4">
        <v>120</v>
      </c>
      <c r="I25" s="4">
        <v>167</v>
      </c>
    </row>
    <row r="26" spans="1:9" x14ac:dyDescent="0.25">
      <c r="A26" t="s">
        <v>68</v>
      </c>
      <c r="B26" s="4">
        <v>139</v>
      </c>
      <c r="C26" s="4">
        <v>118</v>
      </c>
      <c r="D26" s="4">
        <v>130</v>
      </c>
      <c r="E26" s="4">
        <v>119</v>
      </c>
      <c r="F26" s="4">
        <v>155</v>
      </c>
      <c r="G26" s="4">
        <v>182</v>
      </c>
      <c r="H26" s="4">
        <v>122</v>
      </c>
      <c r="I26" s="4">
        <v>151</v>
      </c>
    </row>
    <row r="27" spans="1:9" x14ac:dyDescent="0.25">
      <c r="A27" t="s">
        <v>69</v>
      </c>
      <c r="B27" s="4">
        <v>138</v>
      </c>
      <c r="C27" s="4">
        <v>125</v>
      </c>
      <c r="D27" s="4">
        <v>131</v>
      </c>
      <c r="E27" s="4">
        <v>116</v>
      </c>
      <c r="F27" s="4">
        <v>164</v>
      </c>
      <c r="G27" s="4">
        <v>163</v>
      </c>
      <c r="H27" s="4">
        <v>105</v>
      </c>
      <c r="I27" s="4">
        <v>158</v>
      </c>
    </row>
    <row r="28" spans="1:9" x14ac:dyDescent="0.25">
      <c r="A28" t="s">
        <v>70</v>
      </c>
      <c r="B28" s="4">
        <v>133</v>
      </c>
      <c r="C28" s="4">
        <v>124</v>
      </c>
      <c r="D28" s="4">
        <v>132</v>
      </c>
      <c r="E28" s="4">
        <v>109</v>
      </c>
      <c r="F28" s="4">
        <v>155</v>
      </c>
      <c r="G28" s="4">
        <v>159</v>
      </c>
      <c r="H28" s="4">
        <v>101</v>
      </c>
      <c r="I28" s="4">
        <v>154</v>
      </c>
    </row>
    <row r="29" spans="1:9" x14ac:dyDescent="0.25">
      <c r="A29" t="s">
        <v>71</v>
      </c>
      <c r="B29" s="4">
        <v>135</v>
      </c>
      <c r="C29" s="4">
        <v>123</v>
      </c>
      <c r="D29" s="4">
        <v>136</v>
      </c>
      <c r="E29" s="4">
        <v>112</v>
      </c>
      <c r="F29" s="4">
        <v>153</v>
      </c>
      <c r="G29" s="4">
        <v>154</v>
      </c>
      <c r="H29" s="4">
        <v>107</v>
      </c>
      <c r="I29" s="4">
        <v>157</v>
      </c>
    </row>
    <row r="30" spans="1:9" x14ac:dyDescent="0.25">
      <c r="A30" t="s">
        <v>72</v>
      </c>
      <c r="B30" s="4">
        <v>135</v>
      </c>
      <c r="C30" s="4">
        <v>118</v>
      </c>
      <c r="D30" s="4">
        <v>138</v>
      </c>
      <c r="E30" s="4">
        <v>111</v>
      </c>
      <c r="F30" s="4">
        <v>169</v>
      </c>
      <c r="G30" s="4">
        <v>154</v>
      </c>
      <c r="H30" s="4">
        <v>103</v>
      </c>
      <c r="I30" s="4">
        <v>154</v>
      </c>
    </row>
    <row r="31" spans="1:9" x14ac:dyDescent="0.25">
      <c r="A31" t="s">
        <v>73</v>
      </c>
      <c r="B31" s="4">
        <v>129</v>
      </c>
      <c r="C31" s="4">
        <v>115</v>
      </c>
      <c r="D31" s="4">
        <v>128</v>
      </c>
      <c r="E31" s="4">
        <v>105</v>
      </c>
      <c r="F31" s="4">
        <v>164</v>
      </c>
      <c r="G31" s="4">
        <v>154</v>
      </c>
      <c r="H31" s="4">
        <v>95</v>
      </c>
      <c r="I31" s="4">
        <v>147</v>
      </c>
    </row>
    <row r="32" spans="1:9" x14ac:dyDescent="0.25">
      <c r="A32" t="s">
        <v>74</v>
      </c>
      <c r="B32" s="4">
        <v>131</v>
      </c>
      <c r="C32" s="4">
        <v>117</v>
      </c>
      <c r="D32" s="4">
        <v>132</v>
      </c>
      <c r="E32" s="4">
        <v>105</v>
      </c>
      <c r="F32" s="4">
        <v>167</v>
      </c>
      <c r="G32" s="4">
        <v>152</v>
      </c>
      <c r="H32" s="4">
        <v>99</v>
      </c>
      <c r="I32" s="4">
        <v>142</v>
      </c>
    </row>
    <row r="33" spans="1:9" x14ac:dyDescent="0.25">
      <c r="A33" t="s">
        <v>75</v>
      </c>
      <c r="B33" s="4">
        <v>131</v>
      </c>
      <c r="C33" s="4">
        <v>112</v>
      </c>
      <c r="D33" s="4">
        <v>134</v>
      </c>
      <c r="E33" s="4">
        <v>111</v>
      </c>
      <c r="F33" s="4">
        <v>162</v>
      </c>
      <c r="G33" s="4">
        <v>150</v>
      </c>
      <c r="H33" s="4">
        <v>105</v>
      </c>
      <c r="I33" s="4">
        <v>154</v>
      </c>
    </row>
    <row r="34" spans="1:9" x14ac:dyDescent="0.25">
      <c r="A34" t="s">
        <v>76</v>
      </c>
      <c r="B34" s="4">
        <v>125</v>
      </c>
      <c r="C34" s="4">
        <v>101</v>
      </c>
      <c r="D34" s="4">
        <v>131</v>
      </c>
      <c r="E34" s="4">
        <v>108</v>
      </c>
      <c r="F34" s="4">
        <v>145</v>
      </c>
      <c r="G34" s="4">
        <v>153</v>
      </c>
      <c r="H34" s="4">
        <v>101</v>
      </c>
      <c r="I34" s="4">
        <v>146</v>
      </c>
    </row>
    <row r="35" spans="1:9" x14ac:dyDescent="0.25">
      <c r="A35" t="s">
        <v>77</v>
      </c>
      <c r="B35" s="4">
        <v>132</v>
      </c>
      <c r="C35" s="4">
        <v>102</v>
      </c>
      <c r="D35" s="4">
        <v>132</v>
      </c>
      <c r="E35" s="4">
        <v>107</v>
      </c>
      <c r="F35" s="4">
        <v>187</v>
      </c>
      <c r="G35" s="4">
        <v>159</v>
      </c>
      <c r="H35" s="4">
        <v>107</v>
      </c>
      <c r="I35" s="4">
        <v>146</v>
      </c>
    </row>
    <row r="36" spans="1:9" x14ac:dyDescent="0.25">
      <c r="A36" t="s">
        <v>78</v>
      </c>
      <c r="B36" s="4">
        <v>137</v>
      </c>
      <c r="C36" s="4">
        <v>112</v>
      </c>
      <c r="D36" s="4">
        <v>137</v>
      </c>
      <c r="E36" s="4">
        <v>114</v>
      </c>
      <c r="F36" s="4">
        <v>161</v>
      </c>
      <c r="G36" s="4">
        <v>173</v>
      </c>
      <c r="H36" s="4">
        <v>105</v>
      </c>
      <c r="I36" s="4">
        <v>145</v>
      </c>
    </row>
    <row r="37" spans="1:9" x14ac:dyDescent="0.25">
      <c r="A37" t="s">
        <v>79</v>
      </c>
      <c r="B37" s="4">
        <v>138.5</v>
      </c>
      <c r="C37" s="4">
        <v>112.16</v>
      </c>
      <c r="D37" s="4">
        <v>137.9</v>
      </c>
      <c r="E37" s="4">
        <v>114.5</v>
      </c>
      <c r="F37" s="4">
        <v>177.12</v>
      </c>
      <c r="G37" s="4">
        <v>171.11</v>
      </c>
      <c r="H37" s="4">
        <v>106.35</v>
      </c>
      <c r="I37" s="4">
        <v>145.84</v>
      </c>
    </row>
    <row r="38" spans="1:9" x14ac:dyDescent="0.25">
      <c r="A38" t="s">
        <v>80</v>
      </c>
      <c r="B38" s="4">
        <v>138.62</v>
      </c>
      <c r="C38" s="4">
        <v>111.26</v>
      </c>
      <c r="D38" s="4">
        <v>138.81</v>
      </c>
      <c r="E38" s="4">
        <v>115.77</v>
      </c>
      <c r="F38" s="4">
        <v>171.81</v>
      </c>
      <c r="G38" s="4">
        <v>167.68</v>
      </c>
      <c r="H38" s="4">
        <v>113.33</v>
      </c>
      <c r="I38" s="4">
        <v>145.58000000000001</v>
      </c>
    </row>
    <row r="39" spans="1:9" x14ac:dyDescent="0.25">
      <c r="A39" t="s">
        <v>81</v>
      </c>
      <c r="B39" s="4">
        <v>139.22999999999999</v>
      </c>
      <c r="C39" s="4">
        <v>108.96</v>
      </c>
      <c r="D39" s="4">
        <v>139.6</v>
      </c>
      <c r="E39" s="4">
        <v>117.19</v>
      </c>
      <c r="F39" s="4">
        <v>173.8</v>
      </c>
      <c r="G39" s="4">
        <v>177.56</v>
      </c>
      <c r="H39" s="4">
        <v>107.04</v>
      </c>
      <c r="I39" s="4">
        <v>146.44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9"/>
  <sheetViews>
    <sheetView workbookViewId="0">
      <pane xSplit="1" ySplit="2" topLeftCell="B33" activePane="bottomRight" state="frozen"/>
      <selection pane="topRight"/>
      <selection pane="bottomLeft"/>
      <selection pane="bottomRight" activeCell="I46" sqref="I46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228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45</v>
      </c>
      <c r="B3" s="4">
        <v>97</v>
      </c>
      <c r="C3" s="4">
        <v>85</v>
      </c>
      <c r="D3" s="4">
        <v>101</v>
      </c>
      <c r="E3" s="4">
        <v>90</v>
      </c>
      <c r="F3" s="4">
        <v>150</v>
      </c>
      <c r="G3" s="4">
        <v>95</v>
      </c>
      <c r="H3" t="s">
        <v>84</v>
      </c>
      <c r="I3" t="s">
        <v>84</v>
      </c>
    </row>
    <row r="4" spans="1:9" x14ac:dyDescent="0.25">
      <c r="A4" t="s">
        <v>46</v>
      </c>
      <c r="B4" s="4">
        <v>108</v>
      </c>
      <c r="C4" s="4">
        <v>113</v>
      </c>
      <c r="D4" s="4">
        <v>108</v>
      </c>
      <c r="E4" s="4">
        <v>85</v>
      </c>
      <c r="F4" s="4">
        <v>174</v>
      </c>
      <c r="G4" s="4">
        <v>105</v>
      </c>
      <c r="H4" t="s">
        <v>84</v>
      </c>
      <c r="I4" t="s">
        <v>84</v>
      </c>
    </row>
    <row r="5" spans="1:9" x14ac:dyDescent="0.25">
      <c r="A5" t="s">
        <v>47</v>
      </c>
      <c r="B5" s="4">
        <v>111</v>
      </c>
      <c r="C5" s="4">
        <v>130</v>
      </c>
      <c r="D5" s="4">
        <v>128</v>
      </c>
      <c r="E5" s="4">
        <v>82</v>
      </c>
      <c r="F5" s="4">
        <v>172</v>
      </c>
      <c r="G5" s="4">
        <v>100</v>
      </c>
      <c r="H5" t="s">
        <v>84</v>
      </c>
      <c r="I5" t="s">
        <v>84</v>
      </c>
    </row>
    <row r="6" spans="1:9" x14ac:dyDescent="0.25">
      <c r="A6" t="s">
        <v>48</v>
      </c>
      <c r="B6" s="4">
        <v>114</v>
      </c>
      <c r="C6" s="4">
        <v>136</v>
      </c>
      <c r="D6" s="4">
        <v>134</v>
      </c>
      <c r="E6" s="4">
        <v>99</v>
      </c>
      <c r="F6" s="4">
        <v>166</v>
      </c>
      <c r="G6" s="4">
        <v>93</v>
      </c>
      <c r="H6" t="s">
        <v>84</v>
      </c>
      <c r="I6" t="s">
        <v>84</v>
      </c>
    </row>
    <row r="7" spans="1:9" x14ac:dyDescent="0.25">
      <c r="A7" t="s">
        <v>49</v>
      </c>
      <c r="B7" s="4">
        <v>111</v>
      </c>
      <c r="C7" s="4">
        <v>140</v>
      </c>
      <c r="D7" s="4">
        <v>127</v>
      </c>
      <c r="E7" s="4">
        <v>84</v>
      </c>
      <c r="F7" s="4">
        <v>168</v>
      </c>
      <c r="G7" s="4">
        <v>94</v>
      </c>
      <c r="H7" t="s">
        <v>84</v>
      </c>
      <c r="I7" t="s">
        <v>84</v>
      </c>
    </row>
    <row r="8" spans="1:9" x14ac:dyDescent="0.25">
      <c r="A8" t="s">
        <v>50</v>
      </c>
      <c r="B8" s="4">
        <v>111</v>
      </c>
      <c r="C8" s="4">
        <v>121</v>
      </c>
      <c r="D8" s="4">
        <v>121</v>
      </c>
      <c r="E8" s="4">
        <v>84</v>
      </c>
      <c r="F8" s="4">
        <v>187</v>
      </c>
      <c r="G8" s="4">
        <v>94</v>
      </c>
      <c r="H8" t="s">
        <v>84</v>
      </c>
      <c r="I8" t="s">
        <v>84</v>
      </c>
    </row>
    <row r="9" spans="1:9" x14ac:dyDescent="0.25">
      <c r="A9" t="s">
        <v>51</v>
      </c>
      <c r="B9" s="4">
        <v>126</v>
      </c>
      <c r="C9" s="4">
        <v>204</v>
      </c>
      <c r="D9" s="4">
        <v>120</v>
      </c>
      <c r="E9" s="4">
        <v>97</v>
      </c>
      <c r="F9" s="4">
        <v>178</v>
      </c>
      <c r="G9" s="4">
        <v>94</v>
      </c>
      <c r="H9" t="s">
        <v>84</v>
      </c>
      <c r="I9" t="s">
        <v>84</v>
      </c>
    </row>
    <row r="10" spans="1:9" x14ac:dyDescent="0.25">
      <c r="A10" t="s">
        <v>52</v>
      </c>
      <c r="B10" s="4">
        <v>108</v>
      </c>
      <c r="C10" s="4">
        <v>121</v>
      </c>
      <c r="D10" s="4">
        <v>117</v>
      </c>
      <c r="E10" s="4">
        <v>74</v>
      </c>
      <c r="F10" s="4">
        <v>169</v>
      </c>
      <c r="G10" s="4">
        <v>97</v>
      </c>
      <c r="H10" t="s">
        <v>84</v>
      </c>
      <c r="I10" t="s">
        <v>84</v>
      </c>
    </row>
    <row r="11" spans="1:9" x14ac:dyDescent="0.25">
      <c r="A11" t="s">
        <v>53</v>
      </c>
      <c r="B11" s="4">
        <v>111</v>
      </c>
      <c r="C11" s="4">
        <v>119</v>
      </c>
      <c r="D11" s="4">
        <v>126</v>
      </c>
      <c r="E11" s="4">
        <v>81</v>
      </c>
      <c r="F11" s="4">
        <v>180</v>
      </c>
      <c r="G11" s="4">
        <v>94</v>
      </c>
      <c r="H11" t="s">
        <v>84</v>
      </c>
      <c r="I11" t="s">
        <v>84</v>
      </c>
    </row>
    <row r="12" spans="1:9" x14ac:dyDescent="0.25">
      <c r="A12" t="s">
        <v>54</v>
      </c>
      <c r="B12" s="4">
        <v>107</v>
      </c>
      <c r="C12" s="4">
        <v>114</v>
      </c>
      <c r="D12" s="4">
        <v>119</v>
      </c>
      <c r="E12" s="4">
        <v>85</v>
      </c>
      <c r="F12" s="4">
        <v>179</v>
      </c>
      <c r="G12" s="4">
        <v>89</v>
      </c>
      <c r="H12" t="s">
        <v>84</v>
      </c>
      <c r="I12" t="s">
        <v>84</v>
      </c>
    </row>
    <row r="13" spans="1:9" x14ac:dyDescent="0.25">
      <c r="A13" t="s">
        <v>55</v>
      </c>
      <c r="B13" s="4">
        <v>109</v>
      </c>
      <c r="C13" s="4">
        <v>113</v>
      </c>
      <c r="D13" s="4">
        <v>131</v>
      </c>
      <c r="E13" s="4">
        <v>98</v>
      </c>
      <c r="F13" s="4">
        <v>167</v>
      </c>
      <c r="G13" s="4">
        <v>89</v>
      </c>
      <c r="H13" t="s">
        <v>84</v>
      </c>
      <c r="I13" t="s">
        <v>84</v>
      </c>
    </row>
    <row r="14" spans="1:9" x14ac:dyDescent="0.25">
      <c r="A14" t="s">
        <v>56</v>
      </c>
      <c r="B14" s="4">
        <v>117</v>
      </c>
      <c r="C14" s="4">
        <v>116</v>
      </c>
      <c r="D14" s="4">
        <v>123</v>
      </c>
      <c r="E14" s="4">
        <v>123</v>
      </c>
      <c r="F14" s="4">
        <v>168</v>
      </c>
      <c r="G14" s="4">
        <v>94</v>
      </c>
      <c r="H14" t="s">
        <v>84</v>
      </c>
      <c r="I14" t="s">
        <v>84</v>
      </c>
    </row>
    <row r="15" spans="1:9" x14ac:dyDescent="0.25">
      <c r="A15" t="s">
        <v>57</v>
      </c>
      <c r="B15" s="4">
        <v>104</v>
      </c>
      <c r="C15" s="4">
        <v>103</v>
      </c>
      <c r="D15" s="4">
        <v>122</v>
      </c>
      <c r="E15" s="4">
        <v>115</v>
      </c>
      <c r="F15" s="4">
        <v>176</v>
      </c>
      <c r="G15" s="4">
        <v>68</v>
      </c>
      <c r="H15" t="s">
        <v>84</v>
      </c>
      <c r="I15" t="s">
        <v>84</v>
      </c>
    </row>
    <row r="16" spans="1:9" x14ac:dyDescent="0.25">
      <c r="A16" t="s">
        <v>58</v>
      </c>
      <c r="B16" s="4">
        <v>117</v>
      </c>
      <c r="C16" s="4">
        <v>112</v>
      </c>
      <c r="D16" s="4">
        <v>130</v>
      </c>
      <c r="E16" s="4">
        <v>151</v>
      </c>
      <c r="F16" s="4">
        <v>182</v>
      </c>
      <c r="G16" s="4">
        <v>93</v>
      </c>
      <c r="H16" t="s">
        <v>84</v>
      </c>
      <c r="I16" t="s">
        <v>84</v>
      </c>
    </row>
    <row r="17" spans="1:9" x14ac:dyDescent="0.25">
      <c r="A17" t="s">
        <v>59</v>
      </c>
      <c r="B17" s="4">
        <v>102</v>
      </c>
      <c r="C17" s="4">
        <v>111</v>
      </c>
      <c r="D17" s="4">
        <v>118</v>
      </c>
      <c r="E17" s="4">
        <v>79</v>
      </c>
      <c r="F17" s="4">
        <v>149</v>
      </c>
      <c r="G17" s="4">
        <v>92</v>
      </c>
      <c r="H17" t="s">
        <v>84</v>
      </c>
      <c r="I17" t="s">
        <v>84</v>
      </c>
    </row>
    <row r="18" spans="1:9" x14ac:dyDescent="0.25">
      <c r="A18" t="s">
        <v>60</v>
      </c>
      <c r="B18" s="4">
        <v>103</v>
      </c>
      <c r="C18" s="4">
        <v>104</v>
      </c>
      <c r="D18" s="4">
        <v>127</v>
      </c>
      <c r="E18" s="4">
        <v>81</v>
      </c>
      <c r="F18" s="4">
        <v>164</v>
      </c>
      <c r="G18" s="4">
        <v>87</v>
      </c>
      <c r="H18" t="s">
        <v>84</v>
      </c>
      <c r="I18" t="s">
        <v>84</v>
      </c>
    </row>
    <row r="19" spans="1:9" x14ac:dyDescent="0.25">
      <c r="A19" t="s">
        <v>61</v>
      </c>
      <c r="B19" s="4">
        <v>103</v>
      </c>
      <c r="C19" s="4">
        <v>96</v>
      </c>
      <c r="D19" s="4">
        <v>135</v>
      </c>
      <c r="E19" s="4">
        <v>83</v>
      </c>
      <c r="F19" s="4">
        <v>179</v>
      </c>
      <c r="G19" s="4">
        <v>82</v>
      </c>
      <c r="H19" t="s">
        <v>84</v>
      </c>
      <c r="I19" t="s">
        <v>84</v>
      </c>
    </row>
    <row r="20" spans="1:9" x14ac:dyDescent="0.25">
      <c r="A20" t="s">
        <v>62</v>
      </c>
      <c r="B20" s="4">
        <v>115</v>
      </c>
      <c r="C20" s="4">
        <v>102</v>
      </c>
      <c r="D20" s="4">
        <v>136</v>
      </c>
      <c r="E20" s="4">
        <v>89</v>
      </c>
      <c r="F20" s="4">
        <v>186</v>
      </c>
      <c r="G20" s="4">
        <v>109</v>
      </c>
      <c r="H20" t="s">
        <v>84</v>
      </c>
      <c r="I20" t="s">
        <v>84</v>
      </c>
    </row>
    <row r="21" spans="1:9" x14ac:dyDescent="0.25">
      <c r="A21" t="s">
        <v>63</v>
      </c>
      <c r="B21" s="4">
        <v>116</v>
      </c>
      <c r="C21" s="4">
        <v>142</v>
      </c>
      <c r="D21" s="4">
        <v>121</v>
      </c>
      <c r="E21" s="4">
        <v>61</v>
      </c>
      <c r="F21" s="4">
        <v>170</v>
      </c>
      <c r="G21" s="4">
        <v>100</v>
      </c>
      <c r="H21" t="s">
        <v>84</v>
      </c>
      <c r="I21" t="s">
        <v>84</v>
      </c>
    </row>
    <row r="22" spans="1:9" x14ac:dyDescent="0.25">
      <c r="A22" t="s">
        <v>64</v>
      </c>
      <c r="B22" s="4">
        <v>125</v>
      </c>
      <c r="C22" s="4">
        <v>112</v>
      </c>
      <c r="D22" s="4">
        <v>146</v>
      </c>
      <c r="E22" s="4">
        <v>82</v>
      </c>
      <c r="F22" s="4">
        <v>203</v>
      </c>
      <c r="G22" s="4">
        <v>121</v>
      </c>
      <c r="H22" t="s">
        <v>84</v>
      </c>
      <c r="I22" t="s">
        <v>84</v>
      </c>
    </row>
    <row r="23" spans="1:9" x14ac:dyDescent="0.25">
      <c r="A23" t="s">
        <v>65</v>
      </c>
      <c r="B23" s="4">
        <v>138</v>
      </c>
      <c r="C23" s="4">
        <v>124</v>
      </c>
      <c r="D23" s="4">
        <v>155</v>
      </c>
      <c r="E23" s="4">
        <v>103</v>
      </c>
      <c r="F23" s="4">
        <v>223</v>
      </c>
      <c r="G23" s="4">
        <v>132</v>
      </c>
      <c r="H23" t="s">
        <v>84</v>
      </c>
      <c r="I23" t="s">
        <v>84</v>
      </c>
    </row>
    <row r="24" spans="1:9" x14ac:dyDescent="0.25">
      <c r="A24" t="s">
        <v>66</v>
      </c>
      <c r="B24" s="4">
        <v>132</v>
      </c>
      <c r="C24" s="4">
        <v>127</v>
      </c>
      <c r="D24" s="4">
        <v>141</v>
      </c>
      <c r="E24" s="4">
        <v>97</v>
      </c>
      <c r="F24" s="4">
        <v>216</v>
      </c>
      <c r="G24" s="4">
        <v>123</v>
      </c>
      <c r="H24" t="s">
        <v>84</v>
      </c>
      <c r="I24" t="s">
        <v>84</v>
      </c>
    </row>
    <row r="25" spans="1:9" x14ac:dyDescent="0.25">
      <c r="A25" t="s">
        <v>67</v>
      </c>
      <c r="B25" s="4">
        <v>128</v>
      </c>
      <c r="C25" s="4">
        <v>123</v>
      </c>
      <c r="D25" s="4">
        <v>146</v>
      </c>
      <c r="E25" s="4">
        <v>72</v>
      </c>
      <c r="F25" s="4">
        <v>214</v>
      </c>
      <c r="G25" s="4">
        <v>118</v>
      </c>
      <c r="H25" t="s">
        <v>84</v>
      </c>
      <c r="I25" t="s">
        <v>84</v>
      </c>
    </row>
    <row r="26" spans="1:9" x14ac:dyDescent="0.25">
      <c r="A26" t="s">
        <v>68</v>
      </c>
      <c r="B26" s="4">
        <v>140</v>
      </c>
      <c r="C26" s="4">
        <v>137</v>
      </c>
      <c r="D26" s="4">
        <v>155</v>
      </c>
      <c r="E26" s="4">
        <v>103</v>
      </c>
      <c r="F26" s="4">
        <v>229</v>
      </c>
      <c r="G26" s="4">
        <v>129</v>
      </c>
      <c r="H26" t="s">
        <v>84</v>
      </c>
      <c r="I26" t="s">
        <v>84</v>
      </c>
    </row>
    <row r="27" spans="1:9" x14ac:dyDescent="0.25">
      <c r="A27" t="s">
        <v>69</v>
      </c>
      <c r="B27" s="4">
        <v>138</v>
      </c>
      <c r="C27" s="4">
        <v>143</v>
      </c>
      <c r="D27" s="4">
        <v>154</v>
      </c>
      <c r="E27" s="4">
        <v>100</v>
      </c>
      <c r="F27" s="4">
        <v>215</v>
      </c>
      <c r="G27" s="4">
        <v>132</v>
      </c>
      <c r="H27" t="s">
        <v>84</v>
      </c>
      <c r="I27" t="s">
        <v>84</v>
      </c>
    </row>
    <row r="28" spans="1:9" x14ac:dyDescent="0.25">
      <c r="A28" t="s">
        <v>70</v>
      </c>
      <c r="B28" s="4">
        <v>143</v>
      </c>
      <c r="C28" s="4">
        <v>141</v>
      </c>
      <c r="D28" s="4">
        <v>162</v>
      </c>
      <c r="E28" s="4">
        <v>83</v>
      </c>
      <c r="F28" s="4">
        <v>227</v>
      </c>
      <c r="G28" s="4">
        <v>135</v>
      </c>
      <c r="H28" t="s">
        <v>84</v>
      </c>
      <c r="I28" t="s">
        <v>84</v>
      </c>
    </row>
    <row r="29" spans="1:9" x14ac:dyDescent="0.25">
      <c r="A29" t="s">
        <v>71</v>
      </c>
      <c r="B29" s="4">
        <v>147</v>
      </c>
      <c r="C29" s="4">
        <v>143</v>
      </c>
      <c r="D29" s="4">
        <v>165</v>
      </c>
      <c r="E29" s="4">
        <v>103</v>
      </c>
      <c r="F29" s="4">
        <v>242</v>
      </c>
      <c r="G29" s="4">
        <v>136</v>
      </c>
      <c r="H29" t="s">
        <v>84</v>
      </c>
      <c r="I29" t="s">
        <v>84</v>
      </c>
    </row>
    <row r="30" spans="1:9" x14ac:dyDescent="0.25">
      <c r="A30" t="s">
        <v>72</v>
      </c>
      <c r="B30" s="4">
        <v>152</v>
      </c>
      <c r="C30" s="4">
        <v>138</v>
      </c>
      <c r="D30" s="4">
        <v>173</v>
      </c>
      <c r="E30" s="4">
        <v>126</v>
      </c>
      <c r="F30" s="4">
        <v>256</v>
      </c>
      <c r="G30" s="4">
        <v>137</v>
      </c>
      <c r="H30" t="s">
        <v>84</v>
      </c>
      <c r="I30" t="s">
        <v>84</v>
      </c>
    </row>
    <row r="31" spans="1:9" x14ac:dyDescent="0.25">
      <c r="A31" t="s">
        <v>73</v>
      </c>
      <c r="B31" s="4">
        <v>149</v>
      </c>
      <c r="C31" s="4">
        <v>137</v>
      </c>
      <c r="D31" s="4">
        <v>165</v>
      </c>
      <c r="E31" s="4">
        <v>107</v>
      </c>
      <c r="F31" s="4">
        <v>258</v>
      </c>
      <c r="G31" s="4">
        <v>137</v>
      </c>
      <c r="H31" t="s">
        <v>84</v>
      </c>
      <c r="I31" t="s">
        <v>84</v>
      </c>
    </row>
    <row r="32" spans="1:9" x14ac:dyDescent="0.25">
      <c r="A32" t="s">
        <v>74</v>
      </c>
      <c r="B32" s="4">
        <v>155</v>
      </c>
      <c r="C32" s="4">
        <v>160</v>
      </c>
      <c r="D32" s="4">
        <v>169</v>
      </c>
      <c r="E32" s="4">
        <v>120</v>
      </c>
      <c r="F32" s="4">
        <v>277</v>
      </c>
      <c r="G32" s="4">
        <v>134</v>
      </c>
      <c r="H32" t="s">
        <v>84</v>
      </c>
      <c r="I32" t="s">
        <v>84</v>
      </c>
    </row>
    <row r="33" spans="1:9" x14ac:dyDescent="0.25">
      <c r="A33" t="s">
        <v>75</v>
      </c>
      <c r="B33" s="4">
        <v>155</v>
      </c>
      <c r="C33" s="4">
        <v>186</v>
      </c>
      <c r="D33" s="4">
        <v>168</v>
      </c>
      <c r="E33" s="4">
        <v>132</v>
      </c>
      <c r="F33" s="4">
        <v>250</v>
      </c>
      <c r="G33" s="4">
        <v>131</v>
      </c>
      <c r="H33" t="s">
        <v>84</v>
      </c>
      <c r="I33" t="s">
        <v>84</v>
      </c>
    </row>
    <row r="34" spans="1:9" x14ac:dyDescent="0.25">
      <c r="A34" t="s">
        <v>76</v>
      </c>
      <c r="B34" s="4">
        <v>158</v>
      </c>
      <c r="C34" s="4">
        <v>181</v>
      </c>
      <c r="D34" s="4">
        <v>171</v>
      </c>
      <c r="E34" s="4">
        <v>134</v>
      </c>
      <c r="F34" s="4">
        <v>272</v>
      </c>
      <c r="G34" s="4">
        <v>133</v>
      </c>
      <c r="H34" t="s">
        <v>84</v>
      </c>
      <c r="I34" t="s">
        <v>84</v>
      </c>
    </row>
    <row r="35" spans="1:9" x14ac:dyDescent="0.25">
      <c r="A35" t="s">
        <v>77</v>
      </c>
      <c r="B35" s="4">
        <v>154</v>
      </c>
      <c r="C35" s="4">
        <v>130</v>
      </c>
      <c r="D35" s="4">
        <v>174</v>
      </c>
      <c r="E35" s="4">
        <v>100</v>
      </c>
      <c r="F35" s="4">
        <v>265</v>
      </c>
      <c r="G35" s="4">
        <v>145</v>
      </c>
      <c r="H35" t="s">
        <v>84</v>
      </c>
      <c r="I35" t="s">
        <v>84</v>
      </c>
    </row>
    <row r="36" spans="1:9" x14ac:dyDescent="0.25">
      <c r="A36" t="s">
        <v>78</v>
      </c>
      <c r="B36" s="4">
        <v>167</v>
      </c>
      <c r="C36" s="4">
        <v>154</v>
      </c>
      <c r="D36" s="4">
        <v>181</v>
      </c>
      <c r="E36" s="4">
        <v>109</v>
      </c>
      <c r="F36" s="4">
        <v>286</v>
      </c>
      <c r="G36" s="4">
        <v>157</v>
      </c>
      <c r="H36" t="s">
        <v>84</v>
      </c>
      <c r="I36" t="s">
        <v>84</v>
      </c>
    </row>
    <row r="37" spans="1:9" x14ac:dyDescent="0.25">
      <c r="A37" t="s">
        <v>79</v>
      </c>
      <c r="B37" s="4">
        <v>166.82</v>
      </c>
      <c r="C37" s="4">
        <v>153.30000000000001</v>
      </c>
      <c r="D37" s="4">
        <v>183.94</v>
      </c>
      <c r="E37" s="4">
        <v>109.83</v>
      </c>
      <c r="F37" s="4">
        <v>282.55</v>
      </c>
      <c r="G37" s="4">
        <v>155.86000000000001</v>
      </c>
      <c r="H37" t="s">
        <v>84</v>
      </c>
      <c r="I37" t="s">
        <v>84</v>
      </c>
    </row>
    <row r="38" spans="1:9" x14ac:dyDescent="0.25">
      <c r="A38" t="s">
        <v>80</v>
      </c>
      <c r="B38" s="4">
        <v>169.67</v>
      </c>
      <c r="C38" s="4">
        <v>160.91999999999999</v>
      </c>
      <c r="D38" s="4">
        <v>186.94</v>
      </c>
      <c r="E38" s="4">
        <v>106.45</v>
      </c>
      <c r="F38" s="4">
        <v>297.95999999999998</v>
      </c>
      <c r="G38" s="4">
        <v>154.5</v>
      </c>
      <c r="H38" t="s">
        <v>84</v>
      </c>
      <c r="I38" t="s">
        <v>84</v>
      </c>
    </row>
    <row r="39" spans="1:9" x14ac:dyDescent="0.25">
      <c r="A39" t="s">
        <v>81</v>
      </c>
      <c r="B39" s="4">
        <v>171.68</v>
      </c>
      <c r="C39" s="4">
        <v>146.21</v>
      </c>
      <c r="D39" s="4">
        <v>189.04</v>
      </c>
      <c r="E39" s="4">
        <v>115.74</v>
      </c>
      <c r="F39" s="4">
        <v>292.27</v>
      </c>
      <c r="G39" s="4">
        <v>161.93</v>
      </c>
      <c r="H39" t="s">
        <v>84</v>
      </c>
      <c r="I39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9"/>
  <sheetViews>
    <sheetView workbookViewId="0">
      <pane xSplit="1" ySplit="2" topLeftCell="B24" activePane="bottomRight" state="frozen"/>
      <selection pane="topRight"/>
      <selection pane="bottomLeft"/>
      <selection pane="bottomRight" activeCell="H32" sqref="H32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230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45</v>
      </c>
      <c r="B3" s="4">
        <v>102</v>
      </c>
      <c r="C3" s="4">
        <v>94</v>
      </c>
      <c r="D3" s="4">
        <v>105</v>
      </c>
      <c r="E3" s="4">
        <v>96</v>
      </c>
      <c r="F3" s="4">
        <v>126</v>
      </c>
      <c r="G3" s="4">
        <v>102</v>
      </c>
      <c r="H3" t="s">
        <v>84</v>
      </c>
      <c r="I3" t="s">
        <v>84</v>
      </c>
    </row>
    <row r="4" spans="1:9" x14ac:dyDescent="0.25">
      <c r="A4" t="s">
        <v>46</v>
      </c>
      <c r="B4" s="4">
        <v>109</v>
      </c>
      <c r="C4" s="4">
        <v>105</v>
      </c>
      <c r="D4" s="4">
        <v>116</v>
      </c>
      <c r="E4" s="4">
        <v>97</v>
      </c>
      <c r="F4" s="4">
        <v>136</v>
      </c>
      <c r="G4" s="4">
        <v>103</v>
      </c>
      <c r="H4" t="s">
        <v>84</v>
      </c>
      <c r="I4" t="s">
        <v>84</v>
      </c>
    </row>
    <row r="5" spans="1:9" x14ac:dyDescent="0.25">
      <c r="A5" t="s">
        <v>47</v>
      </c>
      <c r="B5" s="4">
        <v>118</v>
      </c>
      <c r="C5" s="4">
        <v>117</v>
      </c>
      <c r="D5" s="4">
        <v>130</v>
      </c>
      <c r="E5" s="4">
        <v>105</v>
      </c>
      <c r="F5" s="4">
        <v>138</v>
      </c>
      <c r="G5" s="4">
        <v>111</v>
      </c>
      <c r="H5" t="s">
        <v>84</v>
      </c>
      <c r="I5" t="s">
        <v>84</v>
      </c>
    </row>
    <row r="6" spans="1:9" x14ac:dyDescent="0.25">
      <c r="A6" t="s">
        <v>48</v>
      </c>
      <c r="B6" s="4">
        <v>110</v>
      </c>
      <c r="C6" s="4">
        <v>112</v>
      </c>
      <c r="D6" s="4">
        <v>118</v>
      </c>
      <c r="E6" s="4">
        <v>91</v>
      </c>
      <c r="F6" s="4">
        <v>130</v>
      </c>
      <c r="G6" s="4">
        <v>105</v>
      </c>
      <c r="H6" t="s">
        <v>84</v>
      </c>
      <c r="I6" t="s">
        <v>84</v>
      </c>
    </row>
    <row r="7" spans="1:9" x14ac:dyDescent="0.25">
      <c r="A7" t="s">
        <v>49</v>
      </c>
      <c r="B7" s="4">
        <v>109</v>
      </c>
      <c r="C7" s="4">
        <v>110</v>
      </c>
      <c r="D7" s="4">
        <v>114</v>
      </c>
      <c r="E7" s="4">
        <v>80</v>
      </c>
      <c r="F7" s="4">
        <v>124</v>
      </c>
      <c r="G7" s="4">
        <v>111</v>
      </c>
      <c r="H7" t="s">
        <v>84</v>
      </c>
      <c r="I7" t="s">
        <v>84</v>
      </c>
    </row>
    <row r="8" spans="1:9" x14ac:dyDescent="0.25">
      <c r="A8" t="s">
        <v>50</v>
      </c>
      <c r="B8" s="4">
        <v>105</v>
      </c>
      <c r="C8" s="4">
        <v>101</v>
      </c>
      <c r="D8" s="4">
        <v>103</v>
      </c>
      <c r="E8" s="4">
        <v>88</v>
      </c>
      <c r="F8" s="4">
        <v>125</v>
      </c>
      <c r="G8" s="4">
        <v>121</v>
      </c>
      <c r="H8" t="s">
        <v>84</v>
      </c>
      <c r="I8" t="s">
        <v>84</v>
      </c>
    </row>
    <row r="9" spans="1:9" x14ac:dyDescent="0.25">
      <c r="A9" t="s">
        <v>51</v>
      </c>
      <c r="B9" s="4">
        <v>129</v>
      </c>
      <c r="C9" s="4">
        <v>140</v>
      </c>
      <c r="D9" s="4">
        <v>124</v>
      </c>
      <c r="E9" s="4">
        <v>122</v>
      </c>
      <c r="F9" s="4">
        <v>144</v>
      </c>
      <c r="G9" s="4">
        <v>118</v>
      </c>
      <c r="H9" t="s">
        <v>84</v>
      </c>
      <c r="I9" t="s">
        <v>84</v>
      </c>
    </row>
    <row r="10" spans="1:9" x14ac:dyDescent="0.25">
      <c r="A10" t="s">
        <v>52</v>
      </c>
      <c r="B10" s="4">
        <v>108</v>
      </c>
      <c r="C10" s="4">
        <v>102</v>
      </c>
      <c r="D10" s="4">
        <v>118</v>
      </c>
      <c r="E10" s="4">
        <v>86</v>
      </c>
      <c r="F10" s="4">
        <v>115</v>
      </c>
      <c r="G10" s="4">
        <v>122</v>
      </c>
      <c r="H10" t="s">
        <v>84</v>
      </c>
      <c r="I10" t="s">
        <v>84</v>
      </c>
    </row>
    <row r="11" spans="1:9" x14ac:dyDescent="0.25">
      <c r="A11" t="s">
        <v>53</v>
      </c>
      <c r="B11" s="4">
        <v>100</v>
      </c>
      <c r="C11" s="4">
        <v>95</v>
      </c>
      <c r="D11" s="4">
        <v>116</v>
      </c>
      <c r="E11" s="4">
        <v>76</v>
      </c>
      <c r="F11" s="4">
        <v>116</v>
      </c>
      <c r="G11" s="4">
        <v>108</v>
      </c>
      <c r="H11" t="s">
        <v>84</v>
      </c>
      <c r="I11" t="s">
        <v>84</v>
      </c>
    </row>
    <row r="12" spans="1:9" x14ac:dyDescent="0.25">
      <c r="A12" t="s">
        <v>54</v>
      </c>
      <c r="B12" s="4">
        <v>108</v>
      </c>
      <c r="C12" s="4">
        <v>98</v>
      </c>
      <c r="D12" s="4">
        <v>123</v>
      </c>
      <c r="E12" s="4">
        <v>82</v>
      </c>
      <c r="F12" s="4">
        <v>123</v>
      </c>
      <c r="G12" s="4">
        <v>120</v>
      </c>
      <c r="H12" t="s">
        <v>84</v>
      </c>
      <c r="I12" t="s">
        <v>84</v>
      </c>
    </row>
    <row r="13" spans="1:9" x14ac:dyDescent="0.25">
      <c r="A13" t="s">
        <v>55</v>
      </c>
      <c r="B13" s="4">
        <v>109</v>
      </c>
      <c r="C13" s="4">
        <v>100</v>
      </c>
      <c r="D13" s="4">
        <v>122</v>
      </c>
      <c r="E13" s="4">
        <v>92</v>
      </c>
      <c r="F13" s="4">
        <v>119</v>
      </c>
      <c r="G13" s="4">
        <v>118</v>
      </c>
      <c r="H13" t="s">
        <v>84</v>
      </c>
      <c r="I13" t="s">
        <v>84</v>
      </c>
    </row>
    <row r="14" spans="1:9" x14ac:dyDescent="0.25">
      <c r="A14" t="s">
        <v>56</v>
      </c>
      <c r="B14" s="4">
        <v>109</v>
      </c>
      <c r="C14" s="4">
        <v>105</v>
      </c>
      <c r="D14" s="4">
        <v>127</v>
      </c>
      <c r="E14" s="4">
        <v>91</v>
      </c>
      <c r="F14" s="4">
        <v>122</v>
      </c>
      <c r="G14" s="4">
        <v>105</v>
      </c>
      <c r="H14" t="s">
        <v>84</v>
      </c>
      <c r="I14" t="s">
        <v>84</v>
      </c>
    </row>
    <row r="15" spans="1:9" x14ac:dyDescent="0.25">
      <c r="A15" t="s">
        <v>57</v>
      </c>
      <c r="B15" s="4">
        <v>106</v>
      </c>
      <c r="C15" s="4">
        <v>105</v>
      </c>
      <c r="D15" s="4">
        <v>129</v>
      </c>
      <c r="E15" s="4">
        <v>82</v>
      </c>
      <c r="F15" s="4">
        <v>132</v>
      </c>
      <c r="G15" s="4">
        <v>91</v>
      </c>
      <c r="H15" t="s">
        <v>84</v>
      </c>
      <c r="I15" t="s">
        <v>84</v>
      </c>
    </row>
    <row r="16" spans="1:9" x14ac:dyDescent="0.25">
      <c r="A16" t="s">
        <v>58</v>
      </c>
      <c r="B16" s="4">
        <v>113</v>
      </c>
      <c r="C16" s="4">
        <v>105</v>
      </c>
      <c r="D16" s="4">
        <v>146</v>
      </c>
      <c r="E16" s="4">
        <v>93</v>
      </c>
      <c r="F16" s="4">
        <v>137</v>
      </c>
      <c r="G16" s="4">
        <v>107</v>
      </c>
      <c r="H16" t="s">
        <v>84</v>
      </c>
      <c r="I16" t="s">
        <v>84</v>
      </c>
    </row>
    <row r="17" spans="1:9" x14ac:dyDescent="0.25">
      <c r="A17" t="s">
        <v>59</v>
      </c>
      <c r="B17" s="4">
        <v>98</v>
      </c>
      <c r="C17" s="4">
        <v>90</v>
      </c>
      <c r="D17" s="4">
        <v>127</v>
      </c>
      <c r="E17" s="4">
        <v>100</v>
      </c>
      <c r="F17" s="4">
        <v>112</v>
      </c>
      <c r="G17" s="4">
        <v>94</v>
      </c>
      <c r="H17" t="s">
        <v>84</v>
      </c>
      <c r="I17" t="s">
        <v>84</v>
      </c>
    </row>
    <row r="18" spans="1:9" x14ac:dyDescent="0.25">
      <c r="A18" t="s">
        <v>60</v>
      </c>
      <c r="B18" s="4">
        <v>102</v>
      </c>
      <c r="C18" s="4">
        <v>92</v>
      </c>
      <c r="D18" s="4">
        <v>139</v>
      </c>
      <c r="E18" s="4">
        <v>87</v>
      </c>
      <c r="F18" s="4">
        <v>121</v>
      </c>
      <c r="G18" s="4">
        <v>101</v>
      </c>
      <c r="H18" t="s">
        <v>84</v>
      </c>
      <c r="I18" t="s">
        <v>84</v>
      </c>
    </row>
    <row r="19" spans="1:9" x14ac:dyDescent="0.25">
      <c r="A19" t="s">
        <v>61</v>
      </c>
      <c r="B19" s="4">
        <v>107</v>
      </c>
      <c r="C19" s="4">
        <v>93</v>
      </c>
      <c r="D19" s="4">
        <v>152</v>
      </c>
      <c r="E19" s="4">
        <v>74</v>
      </c>
      <c r="F19" s="4">
        <v>129</v>
      </c>
      <c r="G19" s="4">
        <v>107</v>
      </c>
      <c r="H19" t="s">
        <v>84</v>
      </c>
      <c r="I19" t="s">
        <v>84</v>
      </c>
    </row>
    <row r="20" spans="1:9" x14ac:dyDescent="0.25">
      <c r="A20" t="s">
        <v>62</v>
      </c>
      <c r="B20" s="4">
        <v>119</v>
      </c>
      <c r="C20" s="4">
        <v>106</v>
      </c>
      <c r="D20" s="4">
        <v>158</v>
      </c>
      <c r="E20" s="4">
        <v>76</v>
      </c>
      <c r="F20" s="4">
        <v>134</v>
      </c>
      <c r="G20" s="4">
        <v>139</v>
      </c>
      <c r="H20" t="s">
        <v>84</v>
      </c>
      <c r="I20" t="s">
        <v>84</v>
      </c>
    </row>
    <row r="21" spans="1:9" x14ac:dyDescent="0.25">
      <c r="A21" t="s">
        <v>63</v>
      </c>
      <c r="B21" s="4">
        <v>123</v>
      </c>
      <c r="C21" s="4">
        <v>127</v>
      </c>
      <c r="D21" s="4">
        <v>143</v>
      </c>
      <c r="E21" s="4">
        <v>82</v>
      </c>
      <c r="F21" s="4">
        <v>116</v>
      </c>
      <c r="G21" s="4">
        <v>121</v>
      </c>
      <c r="H21" t="s">
        <v>84</v>
      </c>
      <c r="I21" t="s">
        <v>84</v>
      </c>
    </row>
    <row r="22" spans="1:9" x14ac:dyDescent="0.25">
      <c r="A22" t="s">
        <v>64</v>
      </c>
      <c r="B22" s="4">
        <v>116</v>
      </c>
      <c r="C22" s="4">
        <v>96</v>
      </c>
      <c r="D22" s="4">
        <v>146</v>
      </c>
      <c r="E22" s="4">
        <v>75</v>
      </c>
      <c r="F22" s="4">
        <v>141</v>
      </c>
      <c r="G22" s="4">
        <v>136</v>
      </c>
      <c r="H22" t="s">
        <v>84</v>
      </c>
      <c r="I22" t="s">
        <v>84</v>
      </c>
    </row>
    <row r="23" spans="1:9" x14ac:dyDescent="0.25">
      <c r="A23" t="s">
        <v>65</v>
      </c>
      <c r="B23" s="4">
        <v>123</v>
      </c>
      <c r="C23" s="4">
        <v>104</v>
      </c>
      <c r="D23" s="4">
        <v>153</v>
      </c>
      <c r="E23" s="4">
        <v>88</v>
      </c>
      <c r="F23" s="4">
        <v>146</v>
      </c>
      <c r="G23" s="4">
        <v>138</v>
      </c>
      <c r="H23" t="s">
        <v>84</v>
      </c>
      <c r="I23" t="s">
        <v>84</v>
      </c>
    </row>
    <row r="24" spans="1:9" x14ac:dyDescent="0.25">
      <c r="A24" t="s">
        <v>66</v>
      </c>
      <c r="B24" s="4">
        <v>120</v>
      </c>
      <c r="C24" s="4">
        <v>103</v>
      </c>
      <c r="D24" s="4">
        <v>155</v>
      </c>
      <c r="E24" s="4">
        <v>90</v>
      </c>
      <c r="F24" s="4">
        <v>141</v>
      </c>
      <c r="G24" s="4">
        <v>136</v>
      </c>
      <c r="H24" t="s">
        <v>84</v>
      </c>
      <c r="I24" t="s">
        <v>84</v>
      </c>
    </row>
    <row r="25" spans="1:9" x14ac:dyDescent="0.25">
      <c r="A25" t="s">
        <v>67</v>
      </c>
      <c r="B25" s="4">
        <v>128</v>
      </c>
      <c r="C25" s="4">
        <v>107</v>
      </c>
      <c r="D25" s="4">
        <v>147</v>
      </c>
      <c r="E25" s="4">
        <v>82</v>
      </c>
      <c r="F25" s="4">
        <v>150</v>
      </c>
      <c r="G25" s="4">
        <v>163</v>
      </c>
      <c r="H25" t="s">
        <v>84</v>
      </c>
      <c r="I25" t="s">
        <v>84</v>
      </c>
    </row>
    <row r="26" spans="1:9" x14ac:dyDescent="0.25">
      <c r="A26" t="s">
        <v>68</v>
      </c>
      <c r="B26" s="4">
        <v>140</v>
      </c>
      <c r="C26" s="4">
        <v>113</v>
      </c>
      <c r="D26" s="4">
        <v>150</v>
      </c>
      <c r="E26" s="4">
        <v>93</v>
      </c>
      <c r="F26" s="4">
        <v>145</v>
      </c>
      <c r="G26" s="4">
        <v>204</v>
      </c>
      <c r="H26" t="s">
        <v>84</v>
      </c>
      <c r="I26" t="s">
        <v>84</v>
      </c>
    </row>
    <row r="27" spans="1:9" x14ac:dyDescent="0.25">
      <c r="A27" t="s">
        <v>69</v>
      </c>
      <c r="B27" s="4">
        <v>131</v>
      </c>
      <c r="C27" s="4">
        <v>121</v>
      </c>
      <c r="D27" s="4">
        <v>163</v>
      </c>
      <c r="E27" s="4">
        <v>105</v>
      </c>
      <c r="F27" s="4">
        <v>146</v>
      </c>
      <c r="G27" s="4">
        <v>144</v>
      </c>
      <c r="H27" t="s">
        <v>84</v>
      </c>
      <c r="I27" t="s">
        <v>84</v>
      </c>
    </row>
    <row r="28" spans="1:9" x14ac:dyDescent="0.25">
      <c r="A28" t="s">
        <v>70</v>
      </c>
      <c r="B28" s="4">
        <v>133</v>
      </c>
      <c r="C28" s="4">
        <v>128</v>
      </c>
      <c r="D28" s="4">
        <v>148</v>
      </c>
      <c r="E28" s="4">
        <v>94</v>
      </c>
      <c r="F28" s="4">
        <v>160</v>
      </c>
      <c r="G28" s="4">
        <v>141</v>
      </c>
      <c r="H28" t="s">
        <v>84</v>
      </c>
      <c r="I28" t="s">
        <v>84</v>
      </c>
    </row>
    <row r="29" spans="1:9" x14ac:dyDescent="0.25">
      <c r="A29" t="s">
        <v>71</v>
      </c>
      <c r="B29" s="4">
        <v>131</v>
      </c>
      <c r="C29" s="4">
        <v>120</v>
      </c>
      <c r="D29" s="4">
        <v>155</v>
      </c>
      <c r="E29" s="4">
        <v>101</v>
      </c>
      <c r="F29" s="4">
        <v>160</v>
      </c>
      <c r="G29" s="4">
        <v>133</v>
      </c>
      <c r="H29" t="s">
        <v>84</v>
      </c>
      <c r="I29" t="s">
        <v>84</v>
      </c>
    </row>
    <row r="30" spans="1:9" x14ac:dyDescent="0.25">
      <c r="A30" t="s">
        <v>72</v>
      </c>
      <c r="B30" s="4">
        <v>129</v>
      </c>
      <c r="C30" s="4">
        <v>111</v>
      </c>
      <c r="D30" s="4">
        <v>170</v>
      </c>
      <c r="E30" s="4">
        <v>99</v>
      </c>
      <c r="F30" s="4">
        <v>160</v>
      </c>
      <c r="G30" s="4">
        <v>137</v>
      </c>
      <c r="H30" t="s">
        <v>84</v>
      </c>
      <c r="I30" t="s">
        <v>84</v>
      </c>
    </row>
    <row r="31" spans="1:9" x14ac:dyDescent="0.25">
      <c r="A31" t="s">
        <v>73</v>
      </c>
      <c r="B31" s="4">
        <v>126</v>
      </c>
      <c r="C31" s="4">
        <v>112</v>
      </c>
      <c r="D31" s="4">
        <v>151</v>
      </c>
      <c r="E31" s="4">
        <v>95</v>
      </c>
      <c r="F31" s="4">
        <v>158</v>
      </c>
      <c r="G31" s="4">
        <v>139</v>
      </c>
      <c r="H31" t="s">
        <v>84</v>
      </c>
      <c r="I31" t="s">
        <v>84</v>
      </c>
    </row>
    <row r="32" spans="1:9" x14ac:dyDescent="0.25">
      <c r="A32" t="s">
        <v>74</v>
      </c>
      <c r="B32" s="4">
        <v>132</v>
      </c>
      <c r="C32" s="4">
        <v>124</v>
      </c>
      <c r="D32" s="4">
        <v>154</v>
      </c>
      <c r="E32" s="4">
        <v>96</v>
      </c>
      <c r="F32" s="4">
        <v>156</v>
      </c>
      <c r="G32" s="4">
        <v>143</v>
      </c>
      <c r="H32" t="s">
        <v>84</v>
      </c>
      <c r="I32" t="s">
        <v>84</v>
      </c>
    </row>
    <row r="33" spans="1:9" x14ac:dyDescent="0.25">
      <c r="A33" t="s">
        <v>75</v>
      </c>
      <c r="B33" s="4">
        <v>131</v>
      </c>
      <c r="C33" s="4">
        <v>118</v>
      </c>
      <c r="D33" s="4">
        <v>159</v>
      </c>
      <c r="E33" s="4">
        <v>110</v>
      </c>
      <c r="F33" s="4">
        <v>154</v>
      </c>
      <c r="G33" s="4">
        <v>135</v>
      </c>
      <c r="H33" t="s">
        <v>84</v>
      </c>
      <c r="I33" t="s">
        <v>84</v>
      </c>
    </row>
    <row r="34" spans="1:9" x14ac:dyDescent="0.25">
      <c r="A34" t="s">
        <v>76</v>
      </c>
      <c r="B34" s="4">
        <v>129</v>
      </c>
      <c r="C34" s="4">
        <v>116</v>
      </c>
      <c r="D34" s="4">
        <v>153</v>
      </c>
      <c r="E34" s="4">
        <v>111</v>
      </c>
      <c r="F34" s="4">
        <v>156</v>
      </c>
      <c r="G34" s="4">
        <v>130</v>
      </c>
      <c r="H34" t="s">
        <v>84</v>
      </c>
      <c r="I34" t="s">
        <v>84</v>
      </c>
    </row>
    <row r="35" spans="1:9" x14ac:dyDescent="0.25">
      <c r="A35" t="s">
        <v>77</v>
      </c>
      <c r="B35" s="4">
        <v>138</v>
      </c>
      <c r="C35" s="4">
        <v>117</v>
      </c>
      <c r="D35" s="4">
        <v>159</v>
      </c>
      <c r="E35" s="4">
        <v>112</v>
      </c>
      <c r="F35" s="4">
        <v>213</v>
      </c>
      <c r="G35" s="4">
        <v>135</v>
      </c>
      <c r="H35" t="s">
        <v>84</v>
      </c>
      <c r="I35" t="s">
        <v>84</v>
      </c>
    </row>
    <row r="36" spans="1:9" x14ac:dyDescent="0.25">
      <c r="A36" t="s">
        <v>78</v>
      </c>
      <c r="B36" s="4">
        <v>141</v>
      </c>
      <c r="C36" s="4">
        <v>135</v>
      </c>
      <c r="D36" s="4">
        <v>170</v>
      </c>
      <c r="E36" s="4">
        <v>113</v>
      </c>
      <c r="F36" s="4">
        <v>165</v>
      </c>
      <c r="G36" s="4">
        <v>144</v>
      </c>
      <c r="H36" t="s">
        <v>84</v>
      </c>
      <c r="I36" t="s">
        <v>84</v>
      </c>
    </row>
    <row r="37" spans="1:9" x14ac:dyDescent="0.25">
      <c r="A37" t="s">
        <v>79</v>
      </c>
      <c r="B37" s="4">
        <v>142.13999999999999</v>
      </c>
      <c r="C37" s="4">
        <v>136.13999999999999</v>
      </c>
      <c r="D37" s="4">
        <v>164.15</v>
      </c>
      <c r="E37" s="4">
        <v>113.54</v>
      </c>
      <c r="F37" s="4">
        <v>174.08</v>
      </c>
      <c r="G37" s="4">
        <v>132.13999999999999</v>
      </c>
      <c r="H37" t="s">
        <v>84</v>
      </c>
      <c r="I37" t="s">
        <v>84</v>
      </c>
    </row>
    <row r="38" spans="1:9" x14ac:dyDescent="0.25">
      <c r="A38" t="s">
        <v>80</v>
      </c>
      <c r="B38" s="4">
        <v>141.19999999999999</v>
      </c>
      <c r="C38" s="4">
        <v>133.26</v>
      </c>
      <c r="D38" s="4">
        <v>168.53</v>
      </c>
      <c r="E38" s="4">
        <v>114.08</v>
      </c>
      <c r="F38" s="4">
        <v>173.46</v>
      </c>
      <c r="G38" s="4">
        <v>136.72</v>
      </c>
      <c r="H38" t="s">
        <v>84</v>
      </c>
      <c r="I38" t="s">
        <v>84</v>
      </c>
    </row>
    <row r="39" spans="1:9" x14ac:dyDescent="0.25">
      <c r="A39" t="s">
        <v>81</v>
      </c>
      <c r="B39" s="4">
        <v>141.08000000000001</v>
      </c>
      <c r="C39" s="4">
        <v>135.16</v>
      </c>
      <c r="D39" s="4">
        <v>172.79</v>
      </c>
      <c r="E39" s="4">
        <v>114.35</v>
      </c>
      <c r="F39" s="4">
        <v>175.34</v>
      </c>
      <c r="G39" s="4">
        <v>144.72999999999999</v>
      </c>
      <c r="H39" t="s">
        <v>84</v>
      </c>
      <c r="I39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9"/>
  <sheetViews>
    <sheetView workbookViewId="0">
      <pane xSplit="1" ySplit="2" topLeftCell="B15" activePane="bottomRight" state="frozen"/>
      <selection pane="topRight"/>
      <selection pane="bottomLeft"/>
      <selection pane="bottomRight" activeCell="C23" sqref="C23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232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45</v>
      </c>
      <c r="B3" s="4">
        <v>96</v>
      </c>
      <c r="C3" s="4">
        <v>92</v>
      </c>
      <c r="D3" s="4">
        <v>99</v>
      </c>
      <c r="E3" s="4">
        <v>107</v>
      </c>
      <c r="F3" s="4">
        <v>105</v>
      </c>
      <c r="G3" s="4">
        <v>95</v>
      </c>
      <c r="H3" s="4">
        <v>86</v>
      </c>
      <c r="I3" t="s">
        <v>84</v>
      </c>
    </row>
    <row r="4" spans="1:9" x14ac:dyDescent="0.25">
      <c r="A4" t="s">
        <v>46</v>
      </c>
      <c r="B4" s="4">
        <v>110</v>
      </c>
      <c r="C4" s="4">
        <v>102</v>
      </c>
      <c r="D4" s="4">
        <v>106</v>
      </c>
      <c r="E4" s="4">
        <v>118</v>
      </c>
      <c r="F4" s="4">
        <v>120</v>
      </c>
      <c r="G4" s="4">
        <v>97</v>
      </c>
      <c r="H4" s="4">
        <v>87</v>
      </c>
      <c r="I4" t="s">
        <v>84</v>
      </c>
    </row>
    <row r="5" spans="1:9" x14ac:dyDescent="0.25">
      <c r="A5" t="s">
        <v>47</v>
      </c>
      <c r="B5" s="4">
        <v>114</v>
      </c>
      <c r="C5" s="4">
        <v>99</v>
      </c>
      <c r="D5" s="4">
        <v>105</v>
      </c>
      <c r="E5" s="4">
        <v>116</v>
      </c>
      <c r="F5" s="4">
        <v>133</v>
      </c>
      <c r="G5" s="4">
        <v>114</v>
      </c>
      <c r="H5" s="4">
        <v>105</v>
      </c>
      <c r="I5" t="s">
        <v>84</v>
      </c>
    </row>
    <row r="6" spans="1:9" x14ac:dyDescent="0.25">
      <c r="A6" t="s">
        <v>48</v>
      </c>
      <c r="B6" s="4">
        <v>114</v>
      </c>
      <c r="C6" s="4">
        <v>96</v>
      </c>
      <c r="D6" s="4">
        <v>119</v>
      </c>
      <c r="E6" s="4">
        <v>106</v>
      </c>
      <c r="F6" s="4">
        <v>117</v>
      </c>
      <c r="G6" s="4">
        <v>119</v>
      </c>
      <c r="H6" s="4">
        <v>82</v>
      </c>
      <c r="I6" t="s">
        <v>84</v>
      </c>
    </row>
    <row r="7" spans="1:9" x14ac:dyDescent="0.25">
      <c r="A7" t="s">
        <v>49</v>
      </c>
      <c r="B7" s="4">
        <v>105</v>
      </c>
      <c r="C7" s="4">
        <v>92</v>
      </c>
      <c r="D7" s="4">
        <v>99</v>
      </c>
      <c r="E7" s="4">
        <v>107</v>
      </c>
      <c r="F7" s="4">
        <v>106</v>
      </c>
      <c r="G7" s="4">
        <v>95</v>
      </c>
      <c r="H7" s="4">
        <v>108</v>
      </c>
      <c r="I7" t="s">
        <v>84</v>
      </c>
    </row>
    <row r="8" spans="1:9" x14ac:dyDescent="0.25">
      <c r="A8" t="s">
        <v>50</v>
      </c>
      <c r="B8" s="4">
        <v>94</v>
      </c>
      <c r="C8" s="4">
        <v>93</v>
      </c>
      <c r="D8" s="4">
        <v>110</v>
      </c>
      <c r="E8" s="4">
        <v>79</v>
      </c>
      <c r="F8" s="4">
        <v>102</v>
      </c>
      <c r="G8" s="4">
        <v>93</v>
      </c>
      <c r="H8" s="4">
        <v>75</v>
      </c>
      <c r="I8" t="s">
        <v>84</v>
      </c>
    </row>
    <row r="9" spans="1:9" x14ac:dyDescent="0.25">
      <c r="A9" t="s">
        <v>51</v>
      </c>
      <c r="B9" s="4">
        <v>99</v>
      </c>
      <c r="C9" s="4">
        <v>97</v>
      </c>
      <c r="D9" s="4">
        <v>108</v>
      </c>
      <c r="E9" s="4">
        <v>104</v>
      </c>
      <c r="F9" s="4">
        <v>120</v>
      </c>
      <c r="G9" s="4">
        <v>78</v>
      </c>
      <c r="H9" s="4">
        <v>69</v>
      </c>
      <c r="I9" t="s">
        <v>84</v>
      </c>
    </row>
    <row r="10" spans="1:9" x14ac:dyDescent="0.25">
      <c r="A10" t="s">
        <v>52</v>
      </c>
      <c r="B10" s="4">
        <v>95</v>
      </c>
      <c r="C10" s="4">
        <v>67</v>
      </c>
      <c r="D10" s="4">
        <v>112</v>
      </c>
      <c r="E10" s="4">
        <v>120</v>
      </c>
      <c r="F10" s="4">
        <v>103</v>
      </c>
      <c r="G10" s="4">
        <v>110</v>
      </c>
      <c r="H10" s="4">
        <v>76</v>
      </c>
      <c r="I10" t="s">
        <v>84</v>
      </c>
    </row>
    <row r="11" spans="1:9" x14ac:dyDescent="0.25">
      <c r="A11" t="s">
        <v>53</v>
      </c>
      <c r="B11" s="4">
        <v>90</v>
      </c>
      <c r="C11" s="4">
        <v>76</v>
      </c>
      <c r="D11" s="4">
        <v>104</v>
      </c>
      <c r="E11" s="4">
        <v>105</v>
      </c>
      <c r="F11" s="4">
        <v>96</v>
      </c>
      <c r="G11" s="4">
        <v>81</v>
      </c>
      <c r="H11" s="4">
        <v>98</v>
      </c>
      <c r="I11" t="s">
        <v>84</v>
      </c>
    </row>
    <row r="12" spans="1:9" x14ac:dyDescent="0.25">
      <c r="A12" t="s">
        <v>54</v>
      </c>
      <c r="B12" s="4">
        <v>110</v>
      </c>
      <c r="C12" s="4">
        <v>89</v>
      </c>
      <c r="D12" s="4">
        <v>121</v>
      </c>
      <c r="E12" s="4">
        <v>110</v>
      </c>
      <c r="F12" s="4">
        <v>110</v>
      </c>
      <c r="G12" s="4">
        <v>118</v>
      </c>
      <c r="H12" s="4">
        <v>88</v>
      </c>
      <c r="I12" t="s">
        <v>84</v>
      </c>
    </row>
    <row r="13" spans="1:9" x14ac:dyDescent="0.25">
      <c r="A13" t="s">
        <v>55</v>
      </c>
      <c r="B13" s="4">
        <v>101</v>
      </c>
      <c r="C13" s="4">
        <v>76</v>
      </c>
      <c r="D13" s="4">
        <v>124</v>
      </c>
      <c r="E13" s="4">
        <v>105</v>
      </c>
      <c r="F13" s="4">
        <v>97</v>
      </c>
      <c r="G13" s="4">
        <v>113</v>
      </c>
      <c r="H13" s="4">
        <v>93</v>
      </c>
      <c r="I13" t="s">
        <v>84</v>
      </c>
    </row>
    <row r="14" spans="1:9" x14ac:dyDescent="0.25">
      <c r="A14" t="s">
        <v>56</v>
      </c>
      <c r="B14" s="4">
        <v>117</v>
      </c>
      <c r="C14" s="4">
        <v>89</v>
      </c>
      <c r="D14" s="4">
        <v>120</v>
      </c>
      <c r="E14" s="4">
        <v>139</v>
      </c>
      <c r="F14" s="4">
        <v>113</v>
      </c>
      <c r="G14" s="4">
        <v>132</v>
      </c>
      <c r="H14" s="4">
        <v>104</v>
      </c>
      <c r="I14" t="s">
        <v>84</v>
      </c>
    </row>
    <row r="15" spans="1:9" x14ac:dyDescent="0.25">
      <c r="A15" t="s">
        <v>57</v>
      </c>
      <c r="B15" s="4">
        <v>114</v>
      </c>
      <c r="C15" s="4">
        <v>94</v>
      </c>
      <c r="D15" s="4">
        <v>128</v>
      </c>
      <c r="E15" s="4">
        <v>124</v>
      </c>
      <c r="F15" s="4">
        <v>111</v>
      </c>
      <c r="G15" s="4">
        <v>108</v>
      </c>
      <c r="H15" s="4">
        <v>74</v>
      </c>
      <c r="I15" t="s">
        <v>84</v>
      </c>
    </row>
    <row r="16" spans="1:9" x14ac:dyDescent="0.25">
      <c r="A16" t="s">
        <v>58</v>
      </c>
      <c r="B16" s="4">
        <v>98</v>
      </c>
      <c r="C16" s="4">
        <v>87</v>
      </c>
      <c r="D16" s="4">
        <v>110</v>
      </c>
      <c r="E16" s="4">
        <v>104</v>
      </c>
      <c r="F16" s="4">
        <v>82</v>
      </c>
      <c r="G16" s="4">
        <v>116</v>
      </c>
      <c r="H16" s="4">
        <v>71</v>
      </c>
      <c r="I16" t="s">
        <v>84</v>
      </c>
    </row>
    <row r="17" spans="1:9" x14ac:dyDescent="0.25">
      <c r="A17" t="s">
        <v>59</v>
      </c>
      <c r="B17" s="4">
        <v>97</v>
      </c>
      <c r="C17" s="4">
        <v>70</v>
      </c>
      <c r="D17" s="4">
        <v>101</v>
      </c>
      <c r="E17" s="4">
        <v>67</v>
      </c>
      <c r="F17" s="4">
        <v>131</v>
      </c>
      <c r="G17" s="4">
        <v>139</v>
      </c>
      <c r="H17" s="4">
        <v>66</v>
      </c>
      <c r="I17" t="s">
        <v>84</v>
      </c>
    </row>
    <row r="18" spans="1:9" x14ac:dyDescent="0.25">
      <c r="A18" t="s">
        <v>60</v>
      </c>
      <c r="B18" s="4">
        <v>100</v>
      </c>
      <c r="C18" s="4">
        <v>79</v>
      </c>
      <c r="D18" s="4">
        <v>110</v>
      </c>
      <c r="E18" s="4">
        <v>84</v>
      </c>
      <c r="F18" s="4">
        <v>117</v>
      </c>
      <c r="G18" s="4">
        <v>123</v>
      </c>
      <c r="H18" s="4">
        <v>81</v>
      </c>
      <c r="I18" t="s">
        <v>84</v>
      </c>
    </row>
    <row r="19" spans="1:9" x14ac:dyDescent="0.25">
      <c r="A19" t="s">
        <v>61</v>
      </c>
      <c r="B19" s="4">
        <v>104</v>
      </c>
      <c r="C19" s="4">
        <v>87</v>
      </c>
      <c r="D19" s="4">
        <v>118</v>
      </c>
      <c r="E19" s="4">
        <v>100</v>
      </c>
      <c r="F19" s="4">
        <v>103</v>
      </c>
      <c r="G19" s="4">
        <v>107</v>
      </c>
      <c r="H19" s="4">
        <v>97</v>
      </c>
      <c r="I19" t="s">
        <v>84</v>
      </c>
    </row>
    <row r="20" spans="1:9" x14ac:dyDescent="0.25">
      <c r="A20" t="s">
        <v>62</v>
      </c>
      <c r="B20" s="4">
        <v>124</v>
      </c>
      <c r="C20" s="4">
        <v>80</v>
      </c>
      <c r="D20" s="4">
        <v>132</v>
      </c>
      <c r="E20" s="4">
        <v>77</v>
      </c>
      <c r="F20" s="4">
        <v>110</v>
      </c>
      <c r="G20" s="4">
        <v>197</v>
      </c>
      <c r="H20" s="4">
        <v>95</v>
      </c>
      <c r="I20" t="s">
        <v>84</v>
      </c>
    </row>
    <row r="21" spans="1:9" x14ac:dyDescent="0.25">
      <c r="A21" t="s">
        <v>63</v>
      </c>
      <c r="B21" s="4">
        <v>105</v>
      </c>
      <c r="C21" s="4">
        <v>66</v>
      </c>
      <c r="D21" s="4">
        <v>122</v>
      </c>
      <c r="E21" s="4">
        <v>105</v>
      </c>
      <c r="F21" s="4">
        <v>102</v>
      </c>
      <c r="G21" s="4">
        <v>137</v>
      </c>
      <c r="H21" s="4">
        <v>83</v>
      </c>
      <c r="I21" t="s">
        <v>84</v>
      </c>
    </row>
    <row r="22" spans="1:9" x14ac:dyDescent="0.25">
      <c r="A22" t="s">
        <v>64</v>
      </c>
      <c r="B22" s="4">
        <v>115</v>
      </c>
      <c r="C22" s="4">
        <v>91</v>
      </c>
      <c r="D22" s="4">
        <v>111</v>
      </c>
      <c r="E22" s="4">
        <v>129</v>
      </c>
      <c r="F22" s="4">
        <v>100</v>
      </c>
      <c r="G22" s="4">
        <v>147</v>
      </c>
      <c r="H22" s="4">
        <v>84</v>
      </c>
      <c r="I22" t="s">
        <v>84</v>
      </c>
    </row>
    <row r="23" spans="1:9" x14ac:dyDescent="0.25">
      <c r="A23" t="s">
        <v>65</v>
      </c>
      <c r="B23" s="4">
        <v>115</v>
      </c>
      <c r="C23" s="4">
        <v>94</v>
      </c>
      <c r="D23" s="4">
        <v>96</v>
      </c>
      <c r="E23" s="4">
        <v>128</v>
      </c>
      <c r="F23" s="4">
        <v>102</v>
      </c>
      <c r="G23" s="4">
        <v>150</v>
      </c>
      <c r="H23" s="4">
        <v>112</v>
      </c>
      <c r="I23" t="s">
        <v>84</v>
      </c>
    </row>
    <row r="24" spans="1:9" x14ac:dyDescent="0.25">
      <c r="A24" t="s">
        <v>66</v>
      </c>
      <c r="B24" s="4">
        <v>126</v>
      </c>
      <c r="C24" s="4">
        <v>98</v>
      </c>
      <c r="D24" s="4">
        <v>114</v>
      </c>
      <c r="E24" s="4">
        <v>152</v>
      </c>
      <c r="F24" s="4">
        <v>95</v>
      </c>
      <c r="G24" s="4">
        <v>378</v>
      </c>
      <c r="H24" s="4">
        <v>85</v>
      </c>
      <c r="I24" t="s">
        <v>84</v>
      </c>
    </row>
    <row r="25" spans="1:9" x14ac:dyDescent="0.25">
      <c r="A25" t="s">
        <v>67</v>
      </c>
      <c r="B25" s="4">
        <v>122</v>
      </c>
      <c r="C25" s="4">
        <v>85</v>
      </c>
      <c r="D25" s="4">
        <v>119</v>
      </c>
      <c r="E25" s="4">
        <v>148</v>
      </c>
      <c r="F25" s="4">
        <v>96</v>
      </c>
      <c r="G25" s="4">
        <v>345</v>
      </c>
      <c r="H25" s="4">
        <v>101</v>
      </c>
      <c r="I25" t="s">
        <v>84</v>
      </c>
    </row>
    <row r="26" spans="1:9" x14ac:dyDescent="0.25">
      <c r="A26" t="s">
        <v>68</v>
      </c>
      <c r="B26" s="4">
        <v>122</v>
      </c>
      <c r="C26" s="4">
        <v>81</v>
      </c>
      <c r="D26" s="4">
        <v>105</v>
      </c>
      <c r="E26" s="4">
        <v>164</v>
      </c>
      <c r="F26" s="4">
        <v>127</v>
      </c>
      <c r="G26" s="4">
        <v>230</v>
      </c>
      <c r="H26" s="4">
        <v>99</v>
      </c>
      <c r="I26" t="s">
        <v>84</v>
      </c>
    </row>
    <row r="27" spans="1:9" x14ac:dyDescent="0.25">
      <c r="A27" t="s">
        <v>69</v>
      </c>
      <c r="B27" s="4">
        <v>136</v>
      </c>
      <c r="C27" s="4">
        <v>101</v>
      </c>
      <c r="D27" s="4">
        <v>102</v>
      </c>
      <c r="E27" s="4">
        <v>118</v>
      </c>
      <c r="F27" s="4">
        <v>127</v>
      </c>
      <c r="G27" s="4">
        <v>267</v>
      </c>
      <c r="H27" s="4">
        <v>81</v>
      </c>
      <c r="I27" t="s">
        <v>84</v>
      </c>
    </row>
    <row r="28" spans="1:9" x14ac:dyDescent="0.25">
      <c r="A28" t="s">
        <v>70</v>
      </c>
      <c r="B28" s="4">
        <v>123</v>
      </c>
      <c r="C28" s="4">
        <v>90</v>
      </c>
      <c r="D28" s="4">
        <v>117</v>
      </c>
      <c r="E28" s="4">
        <v>138</v>
      </c>
      <c r="F28" s="4">
        <v>114</v>
      </c>
      <c r="G28" s="4">
        <v>211</v>
      </c>
      <c r="H28" s="4">
        <v>81</v>
      </c>
      <c r="I28" t="s">
        <v>84</v>
      </c>
    </row>
    <row r="29" spans="1:9" x14ac:dyDescent="0.25">
      <c r="A29" t="s">
        <v>71</v>
      </c>
      <c r="B29" s="4">
        <v>120</v>
      </c>
      <c r="C29" s="4">
        <v>90</v>
      </c>
      <c r="D29" s="4">
        <v>120</v>
      </c>
      <c r="E29" s="4">
        <v>136</v>
      </c>
      <c r="F29" s="4">
        <v>102</v>
      </c>
      <c r="G29" s="4">
        <v>218</v>
      </c>
      <c r="H29" s="4">
        <v>99</v>
      </c>
      <c r="I29" t="s">
        <v>84</v>
      </c>
    </row>
    <row r="30" spans="1:9" x14ac:dyDescent="0.25">
      <c r="A30" t="s">
        <v>72</v>
      </c>
      <c r="B30" s="4">
        <v>118</v>
      </c>
      <c r="C30" s="4">
        <v>93</v>
      </c>
      <c r="D30" s="4">
        <v>105</v>
      </c>
      <c r="E30" s="4">
        <v>88</v>
      </c>
      <c r="F30" s="4">
        <v>106</v>
      </c>
      <c r="G30" s="4">
        <v>139</v>
      </c>
      <c r="H30" s="4">
        <v>100</v>
      </c>
      <c r="I30" t="s">
        <v>84</v>
      </c>
    </row>
    <row r="31" spans="1:9" x14ac:dyDescent="0.25">
      <c r="A31" t="s">
        <v>73</v>
      </c>
      <c r="B31" s="4">
        <v>110</v>
      </c>
      <c r="C31" s="4">
        <v>82</v>
      </c>
      <c r="D31" s="4">
        <v>105</v>
      </c>
      <c r="E31" s="4">
        <v>111</v>
      </c>
      <c r="F31" s="4">
        <v>101</v>
      </c>
      <c r="G31" s="4">
        <v>189</v>
      </c>
      <c r="H31" s="4">
        <v>74</v>
      </c>
      <c r="I31" t="s">
        <v>84</v>
      </c>
    </row>
    <row r="32" spans="1:9" x14ac:dyDescent="0.25">
      <c r="A32" t="s">
        <v>74</v>
      </c>
      <c r="B32" s="4">
        <v>114</v>
      </c>
      <c r="C32" s="4">
        <v>83</v>
      </c>
      <c r="D32" s="4">
        <v>111</v>
      </c>
      <c r="E32" s="4">
        <v>81</v>
      </c>
      <c r="F32" s="4">
        <v>108</v>
      </c>
      <c r="G32" s="4">
        <v>244</v>
      </c>
      <c r="H32" s="4">
        <v>79</v>
      </c>
      <c r="I32" t="s">
        <v>84</v>
      </c>
    </row>
    <row r="33" spans="1:9" x14ac:dyDescent="0.25">
      <c r="A33" t="s">
        <v>75</v>
      </c>
      <c r="B33" s="4">
        <v>111</v>
      </c>
      <c r="C33" s="4">
        <v>75</v>
      </c>
      <c r="D33" s="4">
        <v>110</v>
      </c>
      <c r="E33" s="4">
        <v>66</v>
      </c>
      <c r="F33" s="4">
        <v>107</v>
      </c>
      <c r="G33" s="4">
        <v>252</v>
      </c>
      <c r="H33" s="4">
        <v>86</v>
      </c>
      <c r="I33" t="s">
        <v>84</v>
      </c>
    </row>
    <row r="34" spans="1:9" x14ac:dyDescent="0.25">
      <c r="A34" t="s">
        <v>76</v>
      </c>
      <c r="B34" s="4">
        <v>102</v>
      </c>
      <c r="C34" s="4">
        <v>71</v>
      </c>
      <c r="D34" s="4">
        <v>104</v>
      </c>
      <c r="E34" s="4">
        <v>79</v>
      </c>
      <c r="F34" s="4">
        <v>90</v>
      </c>
      <c r="G34" s="4">
        <v>259</v>
      </c>
      <c r="H34" s="4">
        <v>80</v>
      </c>
      <c r="I34" t="s">
        <v>84</v>
      </c>
    </row>
    <row r="35" spans="1:9" x14ac:dyDescent="0.25">
      <c r="A35" t="s">
        <v>77</v>
      </c>
      <c r="B35" s="4">
        <v>104</v>
      </c>
      <c r="C35" s="4">
        <v>70</v>
      </c>
      <c r="D35" s="4">
        <v>101</v>
      </c>
      <c r="E35" s="4">
        <v>105</v>
      </c>
      <c r="F35" s="4">
        <v>82</v>
      </c>
      <c r="G35" s="4">
        <v>246</v>
      </c>
      <c r="H35" s="4">
        <v>82</v>
      </c>
      <c r="I35" t="s">
        <v>84</v>
      </c>
    </row>
    <row r="36" spans="1:9" x14ac:dyDescent="0.25">
      <c r="A36" t="s">
        <v>78</v>
      </c>
      <c r="B36" s="4">
        <v>102</v>
      </c>
      <c r="C36" s="4">
        <v>67</v>
      </c>
      <c r="D36" s="4">
        <v>99</v>
      </c>
      <c r="E36" s="4">
        <v>121</v>
      </c>
      <c r="F36" s="4">
        <v>91</v>
      </c>
      <c r="G36" s="4">
        <v>240</v>
      </c>
      <c r="H36" s="4">
        <v>81</v>
      </c>
      <c r="I36" t="s">
        <v>84</v>
      </c>
    </row>
    <row r="37" spans="1:9" x14ac:dyDescent="0.25">
      <c r="A37" t="s">
        <v>79</v>
      </c>
      <c r="B37" s="4">
        <v>92.67</v>
      </c>
      <c r="C37" s="4">
        <v>59.48</v>
      </c>
      <c r="D37" s="4">
        <v>102.65</v>
      </c>
      <c r="E37" s="4">
        <v>112.98</v>
      </c>
      <c r="F37" s="4">
        <v>74.239999999999995</v>
      </c>
      <c r="G37" s="4">
        <v>175.19</v>
      </c>
      <c r="H37" s="4">
        <v>81.260000000000005</v>
      </c>
      <c r="I37" t="s">
        <v>84</v>
      </c>
    </row>
    <row r="38" spans="1:9" x14ac:dyDescent="0.25">
      <c r="A38" t="s">
        <v>80</v>
      </c>
      <c r="B38" s="4">
        <v>99.57</v>
      </c>
      <c r="C38" s="4">
        <v>65.33</v>
      </c>
      <c r="D38" s="4">
        <v>101.76</v>
      </c>
      <c r="E38" s="4">
        <v>125.35</v>
      </c>
      <c r="F38" s="4">
        <v>96.35</v>
      </c>
      <c r="G38" s="4">
        <v>188.49</v>
      </c>
      <c r="H38" s="4">
        <v>83.79</v>
      </c>
      <c r="I38" t="s">
        <v>84</v>
      </c>
    </row>
    <row r="39" spans="1:9" x14ac:dyDescent="0.25">
      <c r="A39" t="s">
        <v>81</v>
      </c>
      <c r="B39" s="4">
        <v>95.08</v>
      </c>
      <c r="C39" s="4">
        <v>62.37</v>
      </c>
      <c r="D39" s="4">
        <v>92.51</v>
      </c>
      <c r="E39" s="4">
        <v>102.42</v>
      </c>
      <c r="F39" s="4">
        <v>80.77</v>
      </c>
      <c r="G39" s="4">
        <v>168.01</v>
      </c>
      <c r="H39" s="4">
        <v>94.59</v>
      </c>
      <c r="I39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9"/>
  <sheetViews>
    <sheetView workbookViewId="0">
      <pane xSplit="1" ySplit="2" topLeftCell="B12" activePane="bottomRight" state="frozen"/>
      <selection pane="topRight"/>
      <selection pane="bottomLeft"/>
      <selection pane="bottomRight" activeCell="K40" sqref="K40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234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45</v>
      </c>
      <c r="B3" s="4">
        <v>110</v>
      </c>
      <c r="C3" s="4">
        <v>102</v>
      </c>
      <c r="D3" s="4">
        <v>111</v>
      </c>
      <c r="E3" s="4">
        <v>104</v>
      </c>
      <c r="F3" s="4">
        <v>123</v>
      </c>
      <c r="G3" s="4">
        <v>123</v>
      </c>
      <c r="H3" s="4">
        <v>107</v>
      </c>
      <c r="I3" s="4">
        <v>140</v>
      </c>
    </row>
    <row r="4" spans="1:9" x14ac:dyDescent="0.25">
      <c r="A4" t="s">
        <v>46</v>
      </c>
      <c r="B4" s="4">
        <v>115</v>
      </c>
      <c r="C4" s="4">
        <v>112</v>
      </c>
      <c r="D4" s="4">
        <v>113</v>
      </c>
      <c r="E4" s="4">
        <v>104</v>
      </c>
      <c r="F4" s="4">
        <v>109</v>
      </c>
      <c r="G4" s="4">
        <v>141</v>
      </c>
      <c r="H4" s="4">
        <v>138</v>
      </c>
      <c r="I4" s="4">
        <v>137</v>
      </c>
    </row>
    <row r="5" spans="1:9" x14ac:dyDescent="0.25">
      <c r="A5" t="s">
        <v>47</v>
      </c>
      <c r="B5" s="4">
        <v>111</v>
      </c>
      <c r="C5" s="4">
        <v>115</v>
      </c>
      <c r="D5" s="4">
        <v>116</v>
      </c>
      <c r="E5" s="4">
        <v>113</v>
      </c>
      <c r="F5" s="4">
        <v>95</v>
      </c>
      <c r="G5" s="4">
        <v>113</v>
      </c>
      <c r="H5" s="4">
        <v>129</v>
      </c>
      <c r="I5" s="4">
        <v>127</v>
      </c>
    </row>
    <row r="6" spans="1:9" x14ac:dyDescent="0.25">
      <c r="A6" t="s">
        <v>48</v>
      </c>
      <c r="B6" s="4">
        <v>128</v>
      </c>
      <c r="C6" s="4">
        <v>141</v>
      </c>
      <c r="D6" s="4">
        <v>119</v>
      </c>
      <c r="E6" s="4">
        <v>139</v>
      </c>
      <c r="F6" s="4">
        <v>95</v>
      </c>
      <c r="G6" s="4">
        <v>100</v>
      </c>
      <c r="H6" s="4">
        <v>118</v>
      </c>
      <c r="I6" s="4">
        <v>142</v>
      </c>
    </row>
    <row r="7" spans="1:9" x14ac:dyDescent="0.25">
      <c r="A7" t="s">
        <v>49</v>
      </c>
      <c r="B7" s="4">
        <v>131</v>
      </c>
      <c r="C7" s="4">
        <v>102</v>
      </c>
      <c r="D7" s="4">
        <v>114</v>
      </c>
      <c r="E7" s="4">
        <v>147</v>
      </c>
      <c r="F7" s="4">
        <v>91</v>
      </c>
      <c r="G7" s="4">
        <v>116</v>
      </c>
      <c r="H7" s="4">
        <v>172</v>
      </c>
      <c r="I7" s="4">
        <v>143</v>
      </c>
    </row>
    <row r="8" spans="1:9" x14ac:dyDescent="0.25">
      <c r="A8" t="s">
        <v>50</v>
      </c>
      <c r="B8" s="4">
        <v>133</v>
      </c>
      <c r="C8" s="4">
        <v>107</v>
      </c>
      <c r="D8" s="4">
        <v>115</v>
      </c>
      <c r="E8" s="4">
        <v>143</v>
      </c>
      <c r="F8" s="4">
        <v>94</v>
      </c>
      <c r="G8" s="4">
        <v>119</v>
      </c>
      <c r="H8" s="4">
        <v>136</v>
      </c>
      <c r="I8" s="4">
        <v>139</v>
      </c>
    </row>
    <row r="9" spans="1:9" x14ac:dyDescent="0.25">
      <c r="A9" t="s">
        <v>51</v>
      </c>
      <c r="B9" s="4">
        <v>128</v>
      </c>
      <c r="C9" s="4">
        <v>124</v>
      </c>
      <c r="D9" s="4">
        <v>115</v>
      </c>
      <c r="E9" s="4">
        <v>132</v>
      </c>
      <c r="F9" s="4">
        <v>93</v>
      </c>
      <c r="G9" s="4">
        <v>128</v>
      </c>
      <c r="H9" s="4">
        <v>124</v>
      </c>
      <c r="I9" s="4">
        <v>140</v>
      </c>
    </row>
    <row r="10" spans="1:9" x14ac:dyDescent="0.25">
      <c r="A10" t="s">
        <v>52</v>
      </c>
      <c r="B10" s="4">
        <v>131</v>
      </c>
      <c r="C10" s="4">
        <v>112</v>
      </c>
      <c r="D10" s="4">
        <v>132</v>
      </c>
      <c r="E10" s="4">
        <v>137</v>
      </c>
      <c r="F10" s="4">
        <v>87</v>
      </c>
      <c r="G10" s="4">
        <v>119</v>
      </c>
      <c r="H10" s="4">
        <v>117</v>
      </c>
      <c r="I10" s="4">
        <v>141</v>
      </c>
    </row>
    <row r="11" spans="1:9" x14ac:dyDescent="0.25">
      <c r="A11" t="s">
        <v>53</v>
      </c>
      <c r="B11" s="4">
        <v>130</v>
      </c>
      <c r="C11" s="4">
        <v>121</v>
      </c>
      <c r="D11" s="4">
        <v>130</v>
      </c>
      <c r="E11" s="4">
        <v>133</v>
      </c>
      <c r="F11" s="4">
        <v>101</v>
      </c>
      <c r="G11" s="4">
        <v>114</v>
      </c>
      <c r="H11" s="4">
        <v>131</v>
      </c>
      <c r="I11" s="4">
        <v>150</v>
      </c>
    </row>
    <row r="12" spans="1:9" x14ac:dyDescent="0.25">
      <c r="A12" t="s">
        <v>54</v>
      </c>
      <c r="B12" s="4">
        <v>122</v>
      </c>
      <c r="C12" s="4">
        <v>105</v>
      </c>
      <c r="D12" s="4">
        <v>111</v>
      </c>
      <c r="E12" s="4">
        <v>127</v>
      </c>
      <c r="F12" s="4">
        <v>91</v>
      </c>
      <c r="G12" s="4">
        <v>120</v>
      </c>
      <c r="H12" s="4">
        <v>106</v>
      </c>
      <c r="I12" s="4">
        <v>150</v>
      </c>
    </row>
    <row r="13" spans="1:9" x14ac:dyDescent="0.25">
      <c r="A13" t="s">
        <v>55</v>
      </c>
      <c r="B13" s="4">
        <v>124</v>
      </c>
      <c r="C13" s="4">
        <v>99</v>
      </c>
      <c r="D13" s="4">
        <v>125</v>
      </c>
      <c r="E13" s="4">
        <v>124</v>
      </c>
      <c r="F13" s="4">
        <v>89</v>
      </c>
      <c r="G13" s="4">
        <v>154</v>
      </c>
      <c r="H13" s="4">
        <v>119</v>
      </c>
      <c r="I13" s="4">
        <v>140</v>
      </c>
    </row>
    <row r="14" spans="1:9" x14ac:dyDescent="0.25">
      <c r="A14" t="s">
        <v>56</v>
      </c>
      <c r="B14" s="4">
        <v>127</v>
      </c>
      <c r="C14" s="4">
        <v>106</v>
      </c>
      <c r="D14" s="4">
        <v>104</v>
      </c>
      <c r="E14" s="4">
        <v>136</v>
      </c>
      <c r="F14" s="4">
        <v>81</v>
      </c>
      <c r="G14" s="4">
        <v>114</v>
      </c>
      <c r="H14" s="4">
        <v>149</v>
      </c>
      <c r="I14" s="4">
        <v>147</v>
      </c>
    </row>
    <row r="15" spans="1:9" x14ac:dyDescent="0.25">
      <c r="A15" t="s">
        <v>57</v>
      </c>
      <c r="B15" s="4">
        <v>122</v>
      </c>
      <c r="C15" s="4">
        <v>85</v>
      </c>
      <c r="D15" s="4">
        <v>101</v>
      </c>
      <c r="E15" s="4">
        <v>141</v>
      </c>
      <c r="F15" s="4">
        <v>77</v>
      </c>
      <c r="G15" s="4">
        <v>126</v>
      </c>
      <c r="H15" s="4">
        <v>129</v>
      </c>
      <c r="I15" s="4">
        <v>145</v>
      </c>
    </row>
    <row r="16" spans="1:9" x14ac:dyDescent="0.25">
      <c r="A16" t="s">
        <v>58</v>
      </c>
      <c r="B16" s="4">
        <v>119</v>
      </c>
      <c r="C16" s="4">
        <v>107</v>
      </c>
      <c r="D16" s="4">
        <v>92</v>
      </c>
      <c r="E16" s="4">
        <v>123</v>
      </c>
      <c r="F16" s="4">
        <v>85</v>
      </c>
      <c r="G16" s="4">
        <v>112</v>
      </c>
      <c r="H16" s="4">
        <v>123</v>
      </c>
      <c r="I16" s="4">
        <v>149</v>
      </c>
    </row>
    <row r="17" spans="1:9" x14ac:dyDescent="0.25">
      <c r="A17" t="s">
        <v>59</v>
      </c>
      <c r="B17" s="4">
        <v>128</v>
      </c>
      <c r="C17" s="4">
        <v>105</v>
      </c>
      <c r="D17" s="4">
        <v>114</v>
      </c>
      <c r="E17" s="4">
        <v>129</v>
      </c>
      <c r="F17" s="4">
        <v>85</v>
      </c>
      <c r="G17" s="4">
        <v>125</v>
      </c>
      <c r="H17" s="4">
        <v>130</v>
      </c>
      <c r="I17" s="4">
        <v>167</v>
      </c>
    </row>
    <row r="18" spans="1:9" x14ac:dyDescent="0.25">
      <c r="A18" t="s">
        <v>60</v>
      </c>
      <c r="B18" s="4">
        <v>129</v>
      </c>
      <c r="C18" s="4">
        <v>99</v>
      </c>
      <c r="D18" s="4">
        <v>117</v>
      </c>
      <c r="E18" s="4">
        <v>131</v>
      </c>
      <c r="F18" s="4">
        <v>91</v>
      </c>
      <c r="G18" s="4">
        <v>125</v>
      </c>
      <c r="H18" s="4">
        <v>123</v>
      </c>
      <c r="I18" s="4">
        <v>161</v>
      </c>
    </row>
    <row r="19" spans="1:9" x14ac:dyDescent="0.25">
      <c r="A19" t="s">
        <v>61</v>
      </c>
      <c r="B19" s="4">
        <v>129</v>
      </c>
      <c r="C19" s="4">
        <v>94</v>
      </c>
      <c r="D19" s="4">
        <v>121</v>
      </c>
      <c r="E19" s="4">
        <v>133</v>
      </c>
      <c r="F19" s="4">
        <v>97</v>
      </c>
      <c r="G19" s="4">
        <v>125</v>
      </c>
      <c r="H19" s="4">
        <v>115</v>
      </c>
      <c r="I19" s="4">
        <v>155</v>
      </c>
    </row>
    <row r="20" spans="1:9" x14ac:dyDescent="0.25">
      <c r="A20" t="s">
        <v>62</v>
      </c>
      <c r="B20" s="4">
        <v>121</v>
      </c>
      <c r="C20" s="4">
        <v>96</v>
      </c>
      <c r="D20" s="4">
        <v>109</v>
      </c>
      <c r="E20" s="4">
        <v>118</v>
      </c>
      <c r="F20" s="4">
        <v>84</v>
      </c>
      <c r="G20" s="4">
        <v>134</v>
      </c>
      <c r="H20" s="4">
        <v>90</v>
      </c>
      <c r="I20" s="4">
        <v>159</v>
      </c>
    </row>
    <row r="21" spans="1:9" x14ac:dyDescent="0.25">
      <c r="A21" t="s">
        <v>63</v>
      </c>
      <c r="B21" s="4">
        <v>135</v>
      </c>
      <c r="C21" s="4">
        <v>127</v>
      </c>
      <c r="D21" s="4">
        <v>126</v>
      </c>
      <c r="E21" s="4">
        <v>132</v>
      </c>
      <c r="F21" s="4">
        <v>87</v>
      </c>
      <c r="G21" s="4">
        <v>135</v>
      </c>
      <c r="H21" s="4">
        <v>137</v>
      </c>
      <c r="I21" s="4">
        <v>149</v>
      </c>
    </row>
    <row r="22" spans="1:9" x14ac:dyDescent="0.25">
      <c r="A22" t="s">
        <v>64</v>
      </c>
      <c r="B22" s="4">
        <v>124</v>
      </c>
      <c r="C22" s="4">
        <v>98</v>
      </c>
      <c r="D22" s="4">
        <v>101</v>
      </c>
      <c r="E22" s="4">
        <v>128</v>
      </c>
      <c r="F22" s="4">
        <v>93</v>
      </c>
      <c r="G22" s="4">
        <v>128</v>
      </c>
      <c r="H22" s="4">
        <v>112</v>
      </c>
      <c r="I22" s="4">
        <v>160</v>
      </c>
    </row>
    <row r="23" spans="1:9" x14ac:dyDescent="0.25">
      <c r="A23" t="s">
        <v>65</v>
      </c>
      <c r="B23" s="4">
        <v>122</v>
      </c>
      <c r="C23" s="4">
        <v>97</v>
      </c>
      <c r="D23" s="4">
        <v>105</v>
      </c>
      <c r="E23" s="4">
        <v>126</v>
      </c>
      <c r="F23" s="4">
        <v>86</v>
      </c>
      <c r="G23" s="4">
        <v>139</v>
      </c>
      <c r="H23" s="4">
        <v>105</v>
      </c>
      <c r="I23" s="4">
        <v>155</v>
      </c>
    </row>
    <row r="24" spans="1:9" x14ac:dyDescent="0.25">
      <c r="A24" t="s">
        <v>66</v>
      </c>
      <c r="B24" s="4">
        <v>121</v>
      </c>
      <c r="C24" s="4">
        <v>101</v>
      </c>
      <c r="D24" s="4">
        <v>101</v>
      </c>
      <c r="E24" s="4">
        <v>119</v>
      </c>
      <c r="F24" s="4">
        <v>94</v>
      </c>
      <c r="G24" s="4">
        <v>133</v>
      </c>
      <c r="H24" s="4">
        <v>104</v>
      </c>
      <c r="I24" s="4">
        <v>159</v>
      </c>
    </row>
    <row r="25" spans="1:9" x14ac:dyDescent="0.25">
      <c r="A25" t="s">
        <v>67</v>
      </c>
      <c r="B25" s="4">
        <v>126</v>
      </c>
      <c r="C25" s="4">
        <v>105</v>
      </c>
      <c r="D25" s="4">
        <v>107</v>
      </c>
      <c r="E25" s="4">
        <v>132</v>
      </c>
      <c r="F25" s="4">
        <v>97</v>
      </c>
      <c r="G25" s="4">
        <v>131</v>
      </c>
      <c r="H25" s="4">
        <v>111</v>
      </c>
      <c r="I25" s="4">
        <v>167</v>
      </c>
    </row>
    <row r="26" spans="1:9" x14ac:dyDescent="0.25">
      <c r="A26" t="s">
        <v>68</v>
      </c>
      <c r="B26" s="4">
        <v>120</v>
      </c>
      <c r="C26" s="4">
        <v>94</v>
      </c>
      <c r="D26" s="4">
        <v>100</v>
      </c>
      <c r="E26" s="4">
        <v>127</v>
      </c>
      <c r="F26" s="4">
        <v>107</v>
      </c>
      <c r="G26" s="4">
        <v>114</v>
      </c>
      <c r="H26" s="4">
        <v>136</v>
      </c>
      <c r="I26" s="4">
        <v>151</v>
      </c>
    </row>
    <row r="27" spans="1:9" x14ac:dyDescent="0.25">
      <c r="A27" t="s">
        <v>69</v>
      </c>
      <c r="B27" s="4">
        <v>120</v>
      </c>
      <c r="C27" s="4">
        <v>102</v>
      </c>
      <c r="D27" s="4">
        <v>98</v>
      </c>
      <c r="E27" s="4">
        <v>121</v>
      </c>
      <c r="F27" s="4">
        <v>106</v>
      </c>
      <c r="G27" s="4">
        <v>115</v>
      </c>
      <c r="H27" s="4">
        <v>117</v>
      </c>
      <c r="I27" s="4">
        <v>158</v>
      </c>
    </row>
    <row r="28" spans="1:9" x14ac:dyDescent="0.25">
      <c r="A28" t="s">
        <v>70</v>
      </c>
      <c r="B28" s="4">
        <v>119</v>
      </c>
      <c r="C28" s="4">
        <v>103</v>
      </c>
      <c r="D28" s="4">
        <v>101</v>
      </c>
      <c r="E28" s="4">
        <v>119</v>
      </c>
      <c r="F28" s="4">
        <v>93</v>
      </c>
      <c r="G28" s="4">
        <v>117</v>
      </c>
      <c r="H28" s="4">
        <v>116</v>
      </c>
      <c r="I28" s="4">
        <v>154</v>
      </c>
    </row>
    <row r="29" spans="1:9" x14ac:dyDescent="0.25">
      <c r="A29" t="s">
        <v>71</v>
      </c>
      <c r="B29" s="4">
        <v>116</v>
      </c>
      <c r="C29" s="4">
        <v>107</v>
      </c>
      <c r="D29" s="4">
        <v>102</v>
      </c>
      <c r="E29" s="4">
        <v>119</v>
      </c>
      <c r="F29" s="4">
        <v>83</v>
      </c>
      <c r="G29" s="4">
        <v>121</v>
      </c>
      <c r="H29" s="4">
        <v>108</v>
      </c>
      <c r="I29" s="4">
        <v>157</v>
      </c>
    </row>
    <row r="30" spans="1:9" x14ac:dyDescent="0.25">
      <c r="A30" t="s">
        <v>72</v>
      </c>
      <c r="B30" s="4">
        <v>115</v>
      </c>
      <c r="C30" s="4">
        <v>94</v>
      </c>
      <c r="D30" s="4">
        <v>99</v>
      </c>
      <c r="E30" s="4">
        <v>117</v>
      </c>
      <c r="F30" s="4">
        <v>77</v>
      </c>
      <c r="G30" s="4">
        <v>122</v>
      </c>
      <c r="H30" s="4">
        <v>111</v>
      </c>
      <c r="I30" s="4">
        <v>154</v>
      </c>
    </row>
    <row r="31" spans="1:9" x14ac:dyDescent="0.25">
      <c r="A31" t="s">
        <v>73</v>
      </c>
      <c r="B31" s="4">
        <v>105</v>
      </c>
      <c r="C31" s="4">
        <v>94</v>
      </c>
      <c r="D31" s="4">
        <v>90</v>
      </c>
      <c r="E31" s="4">
        <v>111</v>
      </c>
      <c r="F31" s="4">
        <v>81</v>
      </c>
      <c r="G31" s="4">
        <v>107</v>
      </c>
      <c r="H31" s="4">
        <v>108</v>
      </c>
      <c r="I31" s="4">
        <v>148</v>
      </c>
    </row>
    <row r="32" spans="1:9" x14ac:dyDescent="0.25">
      <c r="A32" t="s">
        <v>74</v>
      </c>
      <c r="B32" s="4">
        <v>106</v>
      </c>
      <c r="C32" s="4">
        <v>79</v>
      </c>
      <c r="D32" s="4">
        <v>96</v>
      </c>
      <c r="E32" s="4">
        <v>111</v>
      </c>
      <c r="F32" s="4">
        <v>76</v>
      </c>
      <c r="G32" s="4">
        <v>106</v>
      </c>
      <c r="H32" s="4">
        <v>116</v>
      </c>
      <c r="I32" s="4">
        <v>142</v>
      </c>
    </row>
    <row r="33" spans="1:9" x14ac:dyDescent="0.25">
      <c r="A33" t="s">
        <v>75</v>
      </c>
      <c r="B33" s="4">
        <v>113</v>
      </c>
      <c r="C33" s="4">
        <v>86</v>
      </c>
      <c r="D33" s="4">
        <v>98</v>
      </c>
      <c r="E33" s="4">
        <v>118</v>
      </c>
      <c r="F33" s="4">
        <v>84</v>
      </c>
      <c r="G33" s="4">
        <v>120</v>
      </c>
      <c r="H33" s="4">
        <v>108</v>
      </c>
      <c r="I33" s="4">
        <v>154</v>
      </c>
    </row>
    <row r="34" spans="1:9" x14ac:dyDescent="0.25">
      <c r="A34" t="s">
        <v>76</v>
      </c>
      <c r="B34" s="4">
        <v>108</v>
      </c>
      <c r="C34" s="4">
        <v>77</v>
      </c>
      <c r="D34" s="4">
        <v>93</v>
      </c>
      <c r="E34" s="4">
        <v>115</v>
      </c>
      <c r="F34" s="4">
        <v>80</v>
      </c>
      <c r="G34" s="4">
        <v>124</v>
      </c>
      <c r="H34" s="4">
        <v>101</v>
      </c>
      <c r="I34" s="4">
        <v>146</v>
      </c>
    </row>
    <row r="35" spans="1:9" x14ac:dyDescent="0.25">
      <c r="A35" t="s">
        <v>77</v>
      </c>
      <c r="B35" s="4">
        <v>104</v>
      </c>
      <c r="C35" s="4">
        <v>74</v>
      </c>
      <c r="D35" s="4">
        <v>87</v>
      </c>
      <c r="E35" s="4">
        <v>112</v>
      </c>
      <c r="F35" s="4">
        <v>78</v>
      </c>
      <c r="G35" s="4">
        <v>117</v>
      </c>
      <c r="H35" s="4">
        <v>126</v>
      </c>
      <c r="I35" s="4">
        <v>146</v>
      </c>
    </row>
    <row r="36" spans="1:9" x14ac:dyDescent="0.25">
      <c r="A36" t="s">
        <v>78</v>
      </c>
      <c r="B36" s="4">
        <v>106</v>
      </c>
      <c r="C36" s="4">
        <v>84</v>
      </c>
      <c r="D36" s="4">
        <v>87</v>
      </c>
      <c r="E36" s="4">
        <v>114</v>
      </c>
      <c r="F36" s="4">
        <v>75</v>
      </c>
      <c r="G36" s="4">
        <v>122</v>
      </c>
      <c r="H36" s="4">
        <v>110</v>
      </c>
      <c r="I36" s="4">
        <v>145</v>
      </c>
    </row>
    <row r="37" spans="1:9" x14ac:dyDescent="0.25">
      <c r="A37" t="s">
        <v>79</v>
      </c>
      <c r="B37" s="4">
        <v>105.6</v>
      </c>
      <c r="C37" s="4">
        <v>68.56</v>
      </c>
      <c r="D37" s="4">
        <v>84.28</v>
      </c>
      <c r="E37" s="4">
        <v>114.33</v>
      </c>
      <c r="F37" s="4">
        <v>74.11</v>
      </c>
      <c r="G37" s="4">
        <v>115.61</v>
      </c>
      <c r="H37" s="4">
        <v>115.21</v>
      </c>
      <c r="I37" s="4">
        <v>145.93</v>
      </c>
    </row>
    <row r="38" spans="1:9" x14ac:dyDescent="0.25">
      <c r="A38" t="s">
        <v>80</v>
      </c>
      <c r="B38" s="4">
        <v>105.33</v>
      </c>
      <c r="C38" s="4">
        <v>62.36</v>
      </c>
      <c r="D38" s="4">
        <v>85.02</v>
      </c>
      <c r="E38" s="4">
        <v>114.66</v>
      </c>
      <c r="F38" s="4">
        <v>77.8</v>
      </c>
      <c r="G38" s="4">
        <v>122.79</v>
      </c>
      <c r="H38" s="4">
        <v>118.6</v>
      </c>
      <c r="I38" s="4">
        <v>145.33000000000001</v>
      </c>
    </row>
    <row r="39" spans="1:9" x14ac:dyDescent="0.25">
      <c r="A39" t="s">
        <v>81</v>
      </c>
      <c r="B39" s="4">
        <v>105.18</v>
      </c>
      <c r="C39" s="4">
        <v>57.96</v>
      </c>
      <c r="D39" s="4">
        <v>82.28</v>
      </c>
      <c r="E39" s="4">
        <v>114.69</v>
      </c>
      <c r="F39" s="4">
        <v>79.19</v>
      </c>
      <c r="G39" s="4">
        <v>123.41</v>
      </c>
      <c r="H39" s="4">
        <v>103.12</v>
      </c>
      <c r="I39" s="4">
        <v>146.30000000000001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9"/>
  <sheetViews>
    <sheetView workbookViewId="0">
      <pane xSplit="1" ySplit="2" topLeftCell="B21" activePane="bottomRight" state="frozen"/>
      <selection pane="topRight"/>
      <selection pane="bottomLeft"/>
      <selection pane="bottomRight" activeCell="B3" sqref="B3:H39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236</v>
      </c>
    </row>
    <row r="2" spans="1:9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45</v>
      </c>
      <c r="B3" s="4">
        <v>103</v>
      </c>
      <c r="C3" s="4">
        <v>94</v>
      </c>
      <c r="D3" s="4">
        <v>114</v>
      </c>
      <c r="E3" s="4">
        <v>114</v>
      </c>
      <c r="F3" s="4">
        <v>109</v>
      </c>
      <c r="G3" s="4">
        <v>100</v>
      </c>
      <c r="H3" s="4">
        <v>132</v>
      </c>
      <c r="I3" t="s">
        <v>84</v>
      </c>
    </row>
    <row r="4" spans="1:9" x14ac:dyDescent="0.25">
      <c r="A4" t="s">
        <v>46</v>
      </c>
      <c r="B4" s="4">
        <v>91</v>
      </c>
      <c r="C4" s="4">
        <v>114</v>
      </c>
      <c r="D4" s="4">
        <v>91</v>
      </c>
      <c r="E4" s="4">
        <v>106</v>
      </c>
      <c r="F4" s="4">
        <v>153</v>
      </c>
      <c r="G4" s="4">
        <v>28</v>
      </c>
      <c r="H4" s="4">
        <v>148</v>
      </c>
      <c r="I4" t="s">
        <v>84</v>
      </c>
    </row>
    <row r="5" spans="1:9" x14ac:dyDescent="0.25">
      <c r="A5" t="s">
        <v>47</v>
      </c>
      <c r="B5" s="4">
        <v>101</v>
      </c>
      <c r="C5" s="4">
        <v>101</v>
      </c>
      <c r="D5" s="4">
        <v>108</v>
      </c>
      <c r="E5" s="4">
        <v>101</v>
      </c>
      <c r="F5" s="4">
        <v>195</v>
      </c>
      <c r="G5" s="4">
        <v>41</v>
      </c>
      <c r="H5" s="4">
        <v>131</v>
      </c>
      <c r="I5" t="s">
        <v>84</v>
      </c>
    </row>
    <row r="6" spans="1:9" x14ac:dyDescent="0.25">
      <c r="A6" t="s">
        <v>48</v>
      </c>
      <c r="B6" s="4">
        <v>94</v>
      </c>
      <c r="C6" s="4">
        <v>100</v>
      </c>
      <c r="D6" s="4">
        <v>101</v>
      </c>
      <c r="E6" s="4">
        <v>102</v>
      </c>
      <c r="F6" s="4">
        <v>203</v>
      </c>
      <c r="G6" s="4">
        <v>40</v>
      </c>
      <c r="H6" s="4">
        <v>137</v>
      </c>
      <c r="I6" t="s">
        <v>84</v>
      </c>
    </row>
    <row r="7" spans="1:9" x14ac:dyDescent="0.25">
      <c r="A7" t="s">
        <v>49</v>
      </c>
      <c r="B7" s="4">
        <v>99</v>
      </c>
      <c r="C7" s="4">
        <v>100</v>
      </c>
      <c r="D7" s="4">
        <v>102</v>
      </c>
      <c r="E7" s="4">
        <v>111</v>
      </c>
      <c r="F7" s="4">
        <v>150</v>
      </c>
      <c r="G7" s="4">
        <v>51</v>
      </c>
      <c r="H7" s="4">
        <v>158</v>
      </c>
      <c r="I7" t="s">
        <v>84</v>
      </c>
    </row>
    <row r="8" spans="1:9" x14ac:dyDescent="0.25">
      <c r="A8" t="s">
        <v>50</v>
      </c>
      <c r="B8" s="4">
        <v>96</v>
      </c>
      <c r="C8" s="4">
        <v>81</v>
      </c>
      <c r="D8" s="4">
        <v>95</v>
      </c>
      <c r="E8" s="4">
        <v>115</v>
      </c>
      <c r="F8" s="4">
        <v>201</v>
      </c>
      <c r="G8" s="4">
        <v>36</v>
      </c>
      <c r="H8" s="4">
        <v>125</v>
      </c>
      <c r="I8" t="s">
        <v>84</v>
      </c>
    </row>
    <row r="9" spans="1:9" x14ac:dyDescent="0.25">
      <c r="A9" t="s">
        <v>51</v>
      </c>
      <c r="B9" s="4">
        <v>91</v>
      </c>
      <c r="C9" s="4">
        <v>80</v>
      </c>
      <c r="D9" s="4">
        <v>91</v>
      </c>
      <c r="E9" s="4">
        <v>109</v>
      </c>
      <c r="F9" s="4">
        <v>152</v>
      </c>
      <c r="G9" s="4">
        <v>32</v>
      </c>
      <c r="H9" s="4">
        <v>141</v>
      </c>
      <c r="I9" t="s">
        <v>84</v>
      </c>
    </row>
    <row r="10" spans="1:9" x14ac:dyDescent="0.25">
      <c r="A10" t="s">
        <v>52</v>
      </c>
      <c r="B10" s="4">
        <v>91</v>
      </c>
      <c r="C10" s="4">
        <v>77</v>
      </c>
      <c r="D10" s="4">
        <v>105</v>
      </c>
      <c r="E10" s="4">
        <v>124</v>
      </c>
      <c r="F10" s="4">
        <v>184</v>
      </c>
      <c r="G10" s="4">
        <v>32</v>
      </c>
      <c r="H10" s="4">
        <v>134</v>
      </c>
      <c r="I10" t="s">
        <v>84</v>
      </c>
    </row>
    <row r="11" spans="1:9" x14ac:dyDescent="0.25">
      <c r="A11" t="s">
        <v>53</v>
      </c>
      <c r="B11" s="4">
        <v>92</v>
      </c>
      <c r="C11" s="4">
        <v>80</v>
      </c>
      <c r="D11" s="4">
        <v>111</v>
      </c>
      <c r="E11" s="4">
        <v>111</v>
      </c>
      <c r="F11" s="4">
        <v>166</v>
      </c>
      <c r="G11" s="4">
        <v>35</v>
      </c>
      <c r="H11" s="4">
        <v>119</v>
      </c>
      <c r="I11" t="s">
        <v>84</v>
      </c>
    </row>
    <row r="12" spans="1:9" x14ac:dyDescent="0.25">
      <c r="A12" t="s">
        <v>54</v>
      </c>
      <c r="B12" s="4">
        <v>84</v>
      </c>
      <c r="C12" s="4">
        <v>70</v>
      </c>
      <c r="D12" s="4">
        <v>98</v>
      </c>
      <c r="E12" s="4">
        <v>110</v>
      </c>
      <c r="F12" s="4">
        <v>165</v>
      </c>
      <c r="G12" s="4">
        <v>34</v>
      </c>
      <c r="H12" s="4">
        <v>128</v>
      </c>
      <c r="I12" t="s">
        <v>84</v>
      </c>
    </row>
    <row r="13" spans="1:9" x14ac:dyDescent="0.25">
      <c r="A13" t="s">
        <v>55</v>
      </c>
      <c r="B13" s="4">
        <v>86</v>
      </c>
      <c r="C13" s="4">
        <v>78</v>
      </c>
      <c r="D13" s="4">
        <v>106</v>
      </c>
      <c r="E13" s="4">
        <v>119</v>
      </c>
      <c r="F13" s="4">
        <v>171</v>
      </c>
      <c r="G13" s="4">
        <v>26</v>
      </c>
      <c r="H13" s="4">
        <v>124</v>
      </c>
      <c r="I13" t="s">
        <v>84</v>
      </c>
    </row>
    <row r="14" spans="1:9" x14ac:dyDescent="0.25">
      <c r="A14" t="s">
        <v>56</v>
      </c>
      <c r="B14" s="4">
        <v>82</v>
      </c>
      <c r="C14" s="4">
        <v>78</v>
      </c>
      <c r="D14" s="4">
        <v>113</v>
      </c>
      <c r="E14" s="4">
        <v>107</v>
      </c>
      <c r="F14" s="4">
        <v>101</v>
      </c>
      <c r="G14" s="4">
        <v>31</v>
      </c>
      <c r="H14" s="4">
        <v>149</v>
      </c>
      <c r="I14" t="s">
        <v>84</v>
      </c>
    </row>
    <row r="15" spans="1:9" x14ac:dyDescent="0.25">
      <c r="A15" t="s">
        <v>57</v>
      </c>
      <c r="B15" s="4">
        <v>81</v>
      </c>
      <c r="C15" s="4">
        <v>66</v>
      </c>
      <c r="D15" s="4">
        <v>120</v>
      </c>
      <c r="E15" s="4">
        <v>121</v>
      </c>
      <c r="F15" s="4">
        <v>126</v>
      </c>
      <c r="G15" s="4">
        <v>28</v>
      </c>
      <c r="H15" s="4">
        <v>133</v>
      </c>
      <c r="I15" t="s">
        <v>84</v>
      </c>
    </row>
    <row r="16" spans="1:9" x14ac:dyDescent="0.25">
      <c r="A16" t="s">
        <v>58</v>
      </c>
      <c r="B16" s="4">
        <v>81</v>
      </c>
      <c r="C16" s="4">
        <v>65</v>
      </c>
      <c r="D16" s="4">
        <v>101</v>
      </c>
      <c r="E16" s="4">
        <v>110</v>
      </c>
      <c r="F16" s="4">
        <v>104</v>
      </c>
      <c r="G16" s="4">
        <v>32</v>
      </c>
      <c r="H16" s="4">
        <v>121</v>
      </c>
      <c r="I16" t="s">
        <v>84</v>
      </c>
    </row>
    <row r="17" spans="1:9" x14ac:dyDescent="0.25">
      <c r="A17" t="s">
        <v>59</v>
      </c>
      <c r="B17" s="4">
        <v>84</v>
      </c>
      <c r="C17" s="4">
        <v>91</v>
      </c>
      <c r="D17" s="4">
        <v>96</v>
      </c>
      <c r="E17" s="4">
        <v>117</v>
      </c>
      <c r="F17" s="4">
        <v>184</v>
      </c>
      <c r="G17" s="4">
        <v>28</v>
      </c>
      <c r="H17" s="4">
        <v>125</v>
      </c>
      <c r="I17" t="s">
        <v>84</v>
      </c>
    </row>
    <row r="18" spans="1:9" x14ac:dyDescent="0.25">
      <c r="A18" t="s">
        <v>60</v>
      </c>
      <c r="B18" s="4">
        <v>83</v>
      </c>
      <c r="C18" s="4">
        <v>85</v>
      </c>
      <c r="D18" s="4">
        <v>101</v>
      </c>
      <c r="E18" s="4">
        <v>104</v>
      </c>
      <c r="F18" s="4">
        <v>164</v>
      </c>
      <c r="G18" s="4">
        <v>27</v>
      </c>
      <c r="H18" s="4">
        <v>127</v>
      </c>
      <c r="I18" t="s">
        <v>84</v>
      </c>
    </row>
    <row r="19" spans="1:9" x14ac:dyDescent="0.25">
      <c r="A19" t="s">
        <v>61</v>
      </c>
      <c r="B19" s="4">
        <v>82</v>
      </c>
      <c r="C19" s="4">
        <v>78</v>
      </c>
      <c r="D19" s="4">
        <v>106</v>
      </c>
      <c r="E19" s="4">
        <v>92</v>
      </c>
      <c r="F19" s="4">
        <v>143</v>
      </c>
      <c r="G19" s="4">
        <v>26</v>
      </c>
      <c r="H19" s="4">
        <v>129</v>
      </c>
      <c r="I19" t="s">
        <v>84</v>
      </c>
    </row>
    <row r="20" spans="1:9" x14ac:dyDescent="0.25">
      <c r="A20" t="s">
        <v>62</v>
      </c>
      <c r="B20" s="4">
        <v>92</v>
      </c>
      <c r="C20" s="4">
        <v>70</v>
      </c>
      <c r="D20" s="4">
        <v>112</v>
      </c>
      <c r="E20" s="4">
        <v>89</v>
      </c>
      <c r="F20" s="4">
        <v>180</v>
      </c>
      <c r="G20" s="4">
        <v>56</v>
      </c>
      <c r="H20" s="4">
        <v>156</v>
      </c>
      <c r="I20" t="s">
        <v>84</v>
      </c>
    </row>
    <row r="21" spans="1:9" x14ac:dyDescent="0.25">
      <c r="A21" t="s">
        <v>63</v>
      </c>
      <c r="B21" s="4">
        <v>92</v>
      </c>
      <c r="C21" s="4">
        <v>64</v>
      </c>
      <c r="D21" s="4">
        <v>115</v>
      </c>
      <c r="E21" s="4">
        <v>90</v>
      </c>
      <c r="F21" s="4">
        <v>254</v>
      </c>
      <c r="G21" s="4">
        <v>32</v>
      </c>
      <c r="H21" s="4">
        <v>148</v>
      </c>
      <c r="I21" t="s">
        <v>84</v>
      </c>
    </row>
    <row r="22" spans="1:9" x14ac:dyDescent="0.25">
      <c r="A22" t="s">
        <v>64</v>
      </c>
      <c r="B22" s="4">
        <v>94</v>
      </c>
      <c r="C22" s="4">
        <v>67</v>
      </c>
      <c r="D22" s="4">
        <v>108</v>
      </c>
      <c r="E22" s="4">
        <v>112</v>
      </c>
      <c r="F22" s="4">
        <v>214</v>
      </c>
      <c r="G22" s="4">
        <v>35</v>
      </c>
      <c r="H22" s="4">
        <v>143</v>
      </c>
      <c r="I22" t="s">
        <v>84</v>
      </c>
    </row>
    <row r="23" spans="1:9" x14ac:dyDescent="0.25">
      <c r="A23" t="s">
        <v>65</v>
      </c>
      <c r="B23" s="4">
        <v>96</v>
      </c>
      <c r="C23" s="4">
        <v>75</v>
      </c>
      <c r="D23" s="4">
        <v>108</v>
      </c>
      <c r="E23" s="4">
        <v>135</v>
      </c>
      <c r="F23" s="4">
        <v>203</v>
      </c>
      <c r="G23" s="4">
        <v>34</v>
      </c>
      <c r="H23" s="4">
        <v>124</v>
      </c>
      <c r="I23" t="s">
        <v>84</v>
      </c>
    </row>
    <row r="24" spans="1:9" x14ac:dyDescent="0.25">
      <c r="A24" t="s">
        <v>66</v>
      </c>
      <c r="B24" s="4">
        <v>92</v>
      </c>
      <c r="C24" s="4">
        <v>70</v>
      </c>
      <c r="D24" s="4">
        <v>111</v>
      </c>
      <c r="E24" s="4">
        <v>126</v>
      </c>
      <c r="F24" s="4">
        <v>235</v>
      </c>
      <c r="G24" s="4">
        <v>33</v>
      </c>
      <c r="H24" s="4">
        <v>162</v>
      </c>
      <c r="I24" t="s">
        <v>84</v>
      </c>
    </row>
    <row r="25" spans="1:9" x14ac:dyDescent="0.25">
      <c r="A25" t="s">
        <v>67</v>
      </c>
      <c r="B25" s="4">
        <v>84</v>
      </c>
      <c r="C25" s="4">
        <v>69</v>
      </c>
      <c r="D25" s="4">
        <v>118</v>
      </c>
      <c r="E25" s="4">
        <v>120</v>
      </c>
      <c r="F25" s="4">
        <v>156</v>
      </c>
      <c r="G25" s="4">
        <v>29</v>
      </c>
      <c r="H25" s="4">
        <v>155</v>
      </c>
      <c r="I25" t="s">
        <v>84</v>
      </c>
    </row>
    <row r="26" spans="1:9" x14ac:dyDescent="0.25">
      <c r="A26" t="s">
        <v>68</v>
      </c>
      <c r="B26" s="4">
        <v>96</v>
      </c>
      <c r="C26" s="4">
        <v>74</v>
      </c>
      <c r="D26" s="4">
        <v>114</v>
      </c>
      <c r="E26" s="4">
        <v>111</v>
      </c>
      <c r="F26" s="4">
        <v>124</v>
      </c>
      <c r="G26" s="4">
        <v>48</v>
      </c>
      <c r="H26" s="4">
        <v>142</v>
      </c>
      <c r="I26" t="s">
        <v>84</v>
      </c>
    </row>
    <row r="27" spans="1:9" x14ac:dyDescent="0.25">
      <c r="A27" t="s">
        <v>69</v>
      </c>
      <c r="B27" s="4">
        <v>88</v>
      </c>
      <c r="C27" s="4">
        <v>65</v>
      </c>
      <c r="D27" s="4">
        <v>97</v>
      </c>
      <c r="E27" s="4">
        <v>127</v>
      </c>
      <c r="F27" s="4">
        <v>96</v>
      </c>
      <c r="G27" s="4">
        <v>52</v>
      </c>
      <c r="H27" s="4">
        <v>138</v>
      </c>
      <c r="I27" t="s">
        <v>84</v>
      </c>
    </row>
    <row r="28" spans="1:9" x14ac:dyDescent="0.25">
      <c r="A28" t="s">
        <v>70</v>
      </c>
      <c r="B28" s="4">
        <v>90</v>
      </c>
      <c r="C28" s="4">
        <v>74</v>
      </c>
      <c r="D28" s="4">
        <v>97</v>
      </c>
      <c r="E28" s="4">
        <v>114</v>
      </c>
      <c r="F28" s="4">
        <v>118</v>
      </c>
      <c r="G28" s="4">
        <v>36</v>
      </c>
      <c r="H28" s="4">
        <v>139</v>
      </c>
      <c r="I28" t="s">
        <v>84</v>
      </c>
    </row>
    <row r="29" spans="1:9" x14ac:dyDescent="0.25">
      <c r="A29" t="s">
        <v>71</v>
      </c>
      <c r="B29" s="4">
        <v>102</v>
      </c>
      <c r="C29" s="4">
        <v>70</v>
      </c>
      <c r="D29" s="4">
        <v>109</v>
      </c>
      <c r="E29" s="4">
        <v>101</v>
      </c>
      <c r="F29" s="4">
        <v>150</v>
      </c>
      <c r="G29" s="4">
        <v>70</v>
      </c>
      <c r="H29" s="4">
        <v>134</v>
      </c>
      <c r="I29" t="s">
        <v>84</v>
      </c>
    </row>
    <row r="30" spans="1:9" x14ac:dyDescent="0.25">
      <c r="A30" t="s">
        <v>72</v>
      </c>
      <c r="B30" s="4">
        <v>110</v>
      </c>
      <c r="C30" s="4">
        <v>74</v>
      </c>
      <c r="D30" s="4">
        <v>109</v>
      </c>
      <c r="E30" s="4">
        <v>91</v>
      </c>
      <c r="F30" s="4">
        <v>274</v>
      </c>
      <c r="G30" s="4">
        <v>60</v>
      </c>
      <c r="H30" s="4">
        <v>131</v>
      </c>
      <c r="I30" t="s">
        <v>84</v>
      </c>
    </row>
    <row r="31" spans="1:9" x14ac:dyDescent="0.25">
      <c r="A31" t="s">
        <v>73</v>
      </c>
      <c r="B31" s="4">
        <v>106</v>
      </c>
      <c r="C31" s="4">
        <v>73</v>
      </c>
      <c r="D31" s="4">
        <v>99</v>
      </c>
      <c r="E31" s="4">
        <v>99</v>
      </c>
      <c r="F31" s="4">
        <v>277</v>
      </c>
      <c r="G31" s="4">
        <v>64</v>
      </c>
      <c r="H31" s="4">
        <v>126</v>
      </c>
      <c r="I31" t="s">
        <v>84</v>
      </c>
    </row>
    <row r="32" spans="1:9" x14ac:dyDescent="0.25">
      <c r="A32" t="s">
        <v>74</v>
      </c>
      <c r="B32" s="4">
        <v>108</v>
      </c>
      <c r="C32" s="4">
        <v>77</v>
      </c>
      <c r="D32" s="4">
        <v>88</v>
      </c>
      <c r="E32" s="4">
        <v>99</v>
      </c>
      <c r="F32" s="4">
        <v>238</v>
      </c>
      <c r="G32" s="4">
        <v>60</v>
      </c>
      <c r="H32" s="4">
        <v>127</v>
      </c>
      <c r="I32" t="s">
        <v>84</v>
      </c>
    </row>
    <row r="33" spans="1:9" x14ac:dyDescent="0.25">
      <c r="A33" t="s">
        <v>75</v>
      </c>
      <c r="B33" s="4">
        <v>101</v>
      </c>
      <c r="C33" s="4">
        <v>73</v>
      </c>
      <c r="D33" s="4">
        <v>102</v>
      </c>
      <c r="E33" s="4">
        <v>88</v>
      </c>
      <c r="F33" s="4">
        <v>257</v>
      </c>
      <c r="G33" s="4">
        <v>49</v>
      </c>
      <c r="H33" s="4">
        <v>124</v>
      </c>
      <c r="I33" t="s">
        <v>84</v>
      </c>
    </row>
    <row r="34" spans="1:9" x14ac:dyDescent="0.25">
      <c r="A34" t="s">
        <v>76</v>
      </c>
      <c r="B34" s="4">
        <v>93</v>
      </c>
      <c r="C34" s="4">
        <v>61</v>
      </c>
      <c r="D34" s="4">
        <v>85</v>
      </c>
      <c r="E34" s="4">
        <v>103</v>
      </c>
      <c r="F34" s="4">
        <v>249</v>
      </c>
      <c r="G34" s="4">
        <v>48</v>
      </c>
      <c r="H34" s="4">
        <v>143</v>
      </c>
      <c r="I34" t="s">
        <v>84</v>
      </c>
    </row>
    <row r="35" spans="1:9" x14ac:dyDescent="0.25">
      <c r="A35" t="s">
        <v>77</v>
      </c>
      <c r="B35" s="4">
        <v>93</v>
      </c>
      <c r="C35" s="4">
        <v>60</v>
      </c>
      <c r="D35" s="4">
        <v>99</v>
      </c>
      <c r="E35" s="4">
        <v>97</v>
      </c>
      <c r="F35" s="4">
        <v>249</v>
      </c>
      <c r="G35" s="4">
        <v>42</v>
      </c>
      <c r="H35" s="4">
        <v>126</v>
      </c>
      <c r="I35" t="s">
        <v>84</v>
      </c>
    </row>
    <row r="36" spans="1:9" x14ac:dyDescent="0.25">
      <c r="A36" t="s">
        <v>78</v>
      </c>
      <c r="B36" s="4">
        <v>78</v>
      </c>
      <c r="C36" s="4">
        <v>60</v>
      </c>
      <c r="D36" s="4">
        <v>101</v>
      </c>
      <c r="E36" s="4">
        <v>98</v>
      </c>
      <c r="F36" s="4">
        <v>73</v>
      </c>
      <c r="G36" s="4">
        <v>52</v>
      </c>
      <c r="H36" s="4">
        <v>137</v>
      </c>
      <c r="I36" t="s">
        <v>84</v>
      </c>
    </row>
    <row r="37" spans="1:9" x14ac:dyDescent="0.25">
      <c r="A37" t="s">
        <v>79</v>
      </c>
      <c r="B37" s="4">
        <v>83.78</v>
      </c>
      <c r="C37" s="4">
        <v>56.11</v>
      </c>
      <c r="D37" s="4">
        <v>95.47</v>
      </c>
      <c r="E37" s="4">
        <v>99.29</v>
      </c>
      <c r="F37" s="4">
        <v>221.3</v>
      </c>
      <c r="G37" s="4">
        <v>65.28</v>
      </c>
      <c r="H37" s="4">
        <v>130.94999999999999</v>
      </c>
      <c r="I37" t="s">
        <v>84</v>
      </c>
    </row>
    <row r="38" spans="1:9" x14ac:dyDescent="0.25">
      <c r="A38" t="s">
        <v>80</v>
      </c>
      <c r="B38" s="4">
        <v>79.680000000000007</v>
      </c>
      <c r="C38" s="4">
        <v>55.03</v>
      </c>
      <c r="D38" s="4">
        <v>100.13</v>
      </c>
      <c r="E38" s="4">
        <v>96.31</v>
      </c>
      <c r="F38" s="4">
        <v>226.77</v>
      </c>
      <c r="G38" s="4">
        <v>48.94</v>
      </c>
      <c r="H38" s="4">
        <v>135.77000000000001</v>
      </c>
      <c r="I38" t="s">
        <v>84</v>
      </c>
    </row>
    <row r="39" spans="1:9" x14ac:dyDescent="0.25">
      <c r="A39" t="s">
        <v>81</v>
      </c>
      <c r="B39" s="4">
        <v>76.260000000000005</v>
      </c>
      <c r="C39" s="4">
        <v>52.05</v>
      </c>
      <c r="D39" s="4">
        <v>99.7</v>
      </c>
      <c r="E39" s="4">
        <v>96.28</v>
      </c>
      <c r="F39" s="4">
        <v>72.77</v>
      </c>
      <c r="G39" s="4">
        <v>58.19</v>
      </c>
      <c r="H39" s="4">
        <v>135.13</v>
      </c>
      <c r="I39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8"/>
  <sheetViews>
    <sheetView workbookViewId="0">
      <selection activeCell="G25" sqref="G25"/>
    </sheetView>
  </sheetViews>
  <sheetFormatPr defaultColWidth="11" defaultRowHeight="15" x14ac:dyDescent="0.25"/>
  <cols>
    <col min="1" max="1" width="16.7109375" customWidth="1"/>
    <col min="2" max="9" width="15.7109375" customWidth="1"/>
  </cols>
  <sheetData>
    <row r="1" spans="1:9" x14ac:dyDescent="0.25">
      <c r="A1" s="1" t="s">
        <v>238</v>
      </c>
    </row>
    <row r="2" spans="1:9" x14ac:dyDescent="0.25">
      <c r="A2" t="s">
        <v>95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</row>
    <row r="3" spans="1:9" x14ac:dyDescent="0.25">
      <c r="A3" t="s">
        <v>96</v>
      </c>
      <c r="B3" t="s">
        <v>118</v>
      </c>
      <c r="C3" t="s">
        <v>194</v>
      </c>
      <c r="D3" t="s">
        <v>118</v>
      </c>
      <c r="E3" t="s">
        <v>116</v>
      </c>
      <c r="F3" t="s">
        <v>110</v>
      </c>
      <c r="G3" t="s">
        <v>102</v>
      </c>
      <c r="H3" t="s">
        <v>120</v>
      </c>
      <c r="I3" t="s">
        <v>194</v>
      </c>
    </row>
    <row r="4" spans="1:9" x14ac:dyDescent="0.25">
      <c r="A4" t="s">
        <v>103</v>
      </c>
      <c r="B4" t="s">
        <v>100</v>
      </c>
      <c r="C4" t="s">
        <v>110</v>
      </c>
      <c r="D4" t="s">
        <v>102</v>
      </c>
      <c r="E4" t="s">
        <v>109</v>
      </c>
      <c r="F4" t="s">
        <v>169</v>
      </c>
      <c r="G4" t="s">
        <v>239</v>
      </c>
      <c r="H4" t="s">
        <v>84</v>
      </c>
      <c r="I4" t="s">
        <v>84</v>
      </c>
    </row>
    <row r="5" spans="1:9" x14ac:dyDescent="0.25">
      <c r="A5" t="s">
        <v>108</v>
      </c>
      <c r="B5" t="s">
        <v>110</v>
      </c>
      <c r="C5" t="s">
        <v>118</v>
      </c>
      <c r="D5" t="s">
        <v>99</v>
      </c>
      <c r="E5" t="s">
        <v>118</v>
      </c>
      <c r="F5" t="s">
        <v>129</v>
      </c>
      <c r="G5" t="s">
        <v>97</v>
      </c>
      <c r="H5" t="s">
        <v>84</v>
      </c>
      <c r="I5" t="s">
        <v>84</v>
      </c>
    </row>
    <row r="6" spans="1:9" x14ac:dyDescent="0.25">
      <c r="A6" t="s">
        <v>111</v>
      </c>
      <c r="B6" t="s">
        <v>113</v>
      </c>
      <c r="C6" t="s">
        <v>132</v>
      </c>
      <c r="D6" t="s">
        <v>120</v>
      </c>
      <c r="E6" t="s">
        <v>116</v>
      </c>
      <c r="F6" t="s">
        <v>124</v>
      </c>
      <c r="G6" t="s">
        <v>121</v>
      </c>
      <c r="H6" t="s">
        <v>173</v>
      </c>
      <c r="I6" t="s">
        <v>84</v>
      </c>
    </row>
    <row r="7" spans="1:9" x14ac:dyDescent="0.25">
      <c r="A7" t="s">
        <v>117</v>
      </c>
      <c r="B7" t="s">
        <v>146</v>
      </c>
      <c r="C7" t="s">
        <v>143</v>
      </c>
      <c r="D7" t="s">
        <v>125</v>
      </c>
      <c r="E7" t="s">
        <v>173</v>
      </c>
      <c r="F7" t="s">
        <v>126</v>
      </c>
      <c r="G7" t="s">
        <v>127</v>
      </c>
      <c r="H7" t="s">
        <v>146</v>
      </c>
      <c r="I7" t="s">
        <v>194</v>
      </c>
    </row>
    <row r="8" spans="1:9" x14ac:dyDescent="0.25">
      <c r="A8" t="s">
        <v>119</v>
      </c>
      <c r="B8" t="s">
        <v>127</v>
      </c>
      <c r="C8" t="s">
        <v>143</v>
      </c>
      <c r="D8" t="s">
        <v>127</v>
      </c>
      <c r="E8" t="s">
        <v>112</v>
      </c>
      <c r="F8" t="s">
        <v>101</v>
      </c>
      <c r="G8" t="s">
        <v>99</v>
      </c>
      <c r="H8" t="s">
        <v>240</v>
      </c>
      <c r="I8" t="s">
        <v>84</v>
      </c>
    </row>
  </sheetData>
  <pageMargins left="0.7" right="0.7" top="0.75" bottom="0.75" header="0.3" footer="0.3"/>
  <pageSetup paperSize="9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cbef77-f6d8-4dfe-89c8-c9451ce6f5f5">
      <Terms xmlns="http://schemas.microsoft.com/office/infopath/2007/PartnerControls"/>
    </lcf76f155ced4ddcb4097134ff3c332f>
    <TaxCatchAll xmlns="81c01dc6-2c49-4730-b140-874c95cac37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2986458A3CB84599A71B6AC9687E2E" ma:contentTypeVersion="16" ma:contentTypeDescription="Create a new document." ma:contentTypeScope="" ma:versionID="4ed8039c57e869c2a68d5e0ea4788b91">
  <xsd:schema xmlns:xsd="http://www.w3.org/2001/XMLSchema" xmlns:xs="http://www.w3.org/2001/XMLSchema" xmlns:p="http://schemas.microsoft.com/office/2006/metadata/properties" xmlns:ns2="30cbef77-f6d8-4dfe-89c8-c9451ce6f5f5" xmlns:ns3="33cc31bb-d520-4822-af33-15f07349a5ff" xmlns:ns4="81c01dc6-2c49-4730-b140-874c95cac377" targetNamespace="http://schemas.microsoft.com/office/2006/metadata/properties" ma:root="true" ma:fieldsID="8579a3e26afec6d1309e05c89f35f830" ns2:_="" ns3:_="" ns4:_="">
    <xsd:import namespace="30cbef77-f6d8-4dfe-89c8-c9451ce6f5f5"/>
    <xsd:import namespace="33cc31bb-d520-4822-af33-15f07349a5ff"/>
    <xsd:import namespace="81c01dc6-2c49-4730-b140-874c95cac3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bef77-f6d8-4dfe-89c8-c9451ce6f5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81b4ab-c2b0-4b32-8bb7-29fb05a8de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c31bb-d520-4822-af33-15f07349a5f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01dc6-2c49-4730-b140-874c95cac37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ae147fd-75be-492b-af0d-017f5b2bc951}" ma:internalName="TaxCatchAll" ma:showField="CatchAllData" ma:web="33cc31bb-d520-4822-af33-15f07349a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219762-1BCC-427C-99D9-AD9D7B46F3F8}">
  <ds:schemaRefs>
    <ds:schemaRef ds:uri="33cc31bb-d520-4822-af33-15f07349a5ff"/>
    <ds:schemaRef ds:uri="30cbef77-f6d8-4dfe-89c8-c9451ce6f5f5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1c01dc6-2c49-4730-b140-874c95cac37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8E3BA41-B786-46CB-BCF4-AD9BB6A4BF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E88D6C-318B-4244-B5F2-96CABCB6E6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cbef77-f6d8-4dfe-89c8-c9451ce6f5f5"/>
    <ds:schemaRef ds:uri="33cc31bb-d520-4822-af33-15f07349a5ff"/>
    <ds:schemaRef ds:uri="81c01dc6-2c49-4730-b140-874c95cac3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62ab6a2-6cf3-47f0-87e7-1a2dd31313d2}" enabled="1" method="Privileged" siteId="{2be67eb7-400c-4b3f-a5a1-1258c0da069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Notes</vt:lpstr>
      <vt:lpstr>table_1</vt:lpstr>
      <vt:lpstr>table_2</vt:lpstr>
      <vt:lpstr>table_3</vt:lpstr>
      <vt:lpstr>table_4</vt:lpstr>
      <vt:lpstr>table_5</vt:lpstr>
      <vt:lpstr>table_6</vt:lpstr>
      <vt:lpstr>table_7</vt:lpstr>
      <vt:lpstr>table_8</vt:lpstr>
      <vt:lpstr>table_9</vt:lpstr>
      <vt:lpstr>table_10</vt:lpstr>
      <vt:lpstr>table_11</vt:lpstr>
      <vt:lpstr>table_12</vt:lpstr>
      <vt:lpstr>table_13</vt:lpstr>
      <vt:lpstr>table_14</vt:lpstr>
      <vt:lpstr>table_15</vt:lpstr>
      <vt:lpstr>table_16</vt:lpstr>
      <vt:lpstr>table_17</vt:lpstr>
      <vt:lpstr>table_18</vt:lpstr>
      <vt:lpstr>table_19</vt:lpstr>
      <vt:lpstr>table_c1</vt:lpstr>
      <vt:lpstr>table_c2</vt:lpstr>
      <vt:lpstr>table_c3</vt:lpstr>
      <vt:lpstr>table_c4</vt:lpstr>
      <vt:lpstr>table_c5</vt:lpstr>
      <vt:lpstr>table_c6</vt:lpstr>
      <vt:lpstr>table_c7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ML0069</dc:creator>
  <cp:lastModifiedBy>Boult, Chris</cp:lastModifiedBy>
  <dcterms:created xsi:type="dcterms:W3CDTF">2026-06-17T02:55:47Z</dcterms:created>
  <dcterms:modified xsi:type="dcterms:W3CDTF">2026-06-30T00:13:01Z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0x0101004C2986458A3CB84599A71B6AC9687E2E</vt:lpwstr>
  </property>
  <property fmtid="{D5CDD505-2E9C-101B-9397-08002B2CF9AE}" pid="3" name="MediaServiceImageTags">
    <vt:lpwstr/>
  </property>
</Properties>
</file>